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bernal3.ext\Documents\Fichaje\Horas\"/>
    </mc:Choice>
  </mc:AlternateContent>
  <xr:revisionPtr revIDLastSave="0" documentId="13_ncr:1_{B3EBEE31-9552-4970-BC18-77973A645113}" xr6:coauthVersionLast="47" xr6:coauthVersionMax="47" xr10:uidLastSave="{00000000-0000-0000-0000-000000000000}"/>
  <bookViews>
    <workbookView xWindow="28680" yWindow="-120" windowWidth="29040" windowHeight="15720" tabRatio="571" firstSheet="1" activeTab="13" xr2:uid="{00000000-000D-0000-FFFF-FFFF00000000}"/>
  </bookViews>
  <sheets>
    <sheet name="Horas" sheetId="21" r:id="rId1"/>
    <sheet name="Mayo 26" sheetId="20" r:id="rId2"/>
    <sheet name="Junio" sheetId="14" r:id="rId3"/>
    <sheet name="Julio" sheetId="15" r:id="rId4"/>
    <sheet name="Agosto" sheetId="2" r:id="rId5"/>
    <sheet name="Septiembre" sheetId="1" r:id="rId6"/>
    <sheet name="Octubre" sheetId="3" r:id="rId7"/>
    <sheet name="Noviembre" sheetId="4" r:id="rId8"/>
    <sheet name="Diciembre" sheetId="5" r:id="rId9"/>
    <sheet name="Enero" sheetId="7" r:id="rId10"/>
    <sheet name="Febrero" sheetId="8" r:id="rId11"/>
    <sheet name="Marzo" sheetId="10" r:id="rId12"/>
    <sheet name="Abril" sheetId="18" r:id="rId13"/>
    <sheet name="Mayo" sheetId="19" r:id="rId14"/>
  </sheets>
  <definedNames>
    <definedName name="_xlnm.Print_Area" localSheetId="12">Abril!$A$1:$L$43</definedName>
    <definedName name="_xlnm.Print_Area" localSheetId="3">Julio!$A$1:$L$43</definedName>
    <definedName name="_xlnm.Print_Area" localSheetId="11">Marzo!$A$1:$L$43</definedName>
    <definedName name="_xlnm.Print_Area" localSheetId="13">Mayo!$A$1:$L$43</definedName>
    <definedName name="_xlnm.Print_Area" localSheetId="5">Septiembre!$A$1:$L$43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8" l="1"/>
  <c r="L14" i="8" s="1"/>
  <c r="J15" i="8"/>
  <c r="K15" i="8"/>
  <c r="K16" i="8"/>
  <c r="L16" i="8" s="1"/>
  <c r="K17" i="8"/>
  <c r="L17" i="8" s="1"/>
  <c r="K18" i="8"/>
  <c r="L18" i="8" s="1"/>
  <c r="K21" i="8"/>
  <c r="L21" i="8" s="1"/>
  <c r="J22" i="8"/>
  <c r="K22" i="8"/>
  <c r="L22" i="8" s="1"/>
  <c r="K23" i="8"/>
  <c r="L23" i="8" s="1"/>
  <c r="K24" i="8"/>
  <c r="L24" i="8" s="1"/>
  <c r="K25" i="8"/>
  <c r="L25" i="8" s="1"/>
  <c r="L15" i="8" l="1"/>
  <c r="J8" i="8" l="1"/>
  <c r="P9" i="21"/>
  <c r="E28" i="21" l="1"/>
  <c r="O32" i="21" l="1"/>
  <c r="O33" i="21" s="1"/>
  <c r="J8" i="10"/>
  <c r="J15" i="10"/>
  <c r="J10" i="14" l="1"/>
  <c r="K8" i="14" l="1"/>
  <c r="K9" i="14"/>
  <c r="K10" i="14"/>
  <c r="K11" i="14"/>
  <c r="K7" i="14"/>
  <c r="L11" i="14" l="1"/>
  <c r="L8" i="14" l="1"/>
  <c r="L9" i="14"/>
  <c r="L10" i="14"/>
  <c r="L7" i="14"/>
  <c r="L37" i="20" l="1"/>
  <c r="L38" i="20"/>
  <c r="L39" i="20"/>
  <c r="L36" i="20"/>
  <c r="J29" i="19" l="1"/>
  <c r="K29" i="19"/>
  <c r="K28" i="19"/>
  <c r="L28" i="19" s="1"/>
  <c r="L29" i="19" l="1"/>
  <c r="L36" i="14"/>
  <c r="P36" i="14" l="1"/>
  <c r="L35" i="4"/>
  <c r="K11" i="19" l="1"/>
  <c r="L11" i="19" s="1"/>
  <c r="K10" i="19"/>
  <c r="J10" i="19"/>
  <c r="K9" i="19"/>
  <c r="J9" i="19"/>
  <c r="K8" i="19"/>
  <c r="J8" i="19"/>
  <c r="L8" i="19" s="1"/>
  <c r="K7" i="19"/>
  <c r="J7" i="19"/>
  <c r="K39" i="18"/>
  <c r="L39" i="18" s="1"/>
  <c r="P39" i="18" s="1"/>
  <c r="J24" i="18"/>
  <c r="J23" i="18"/>
  <c r="J22" i="18"/>
  <c r="J21" i="18"/>
  <c r="K37" i="10"/>
  <c r="L37" i="10"/>
  <c r="P37" i="10" s="1"/>
  <c r="J15" i="7"/>
  <c r="J36" i="5"/>
  <c r="K37" i="1"/>
  <c r="L37" i="1" s="1"/>
  <c r="K11" i="2"/>
  <c r="J11" i="2"/>
  <c r="K10" i="2"/>
  <c r="J10" i="2"/>
  <c r="K9" i="2"/>
  <c r="L9" i="2" s="1"/>
  <c r="J9" i="2"/>
  <c r="K8" i="2"/>
  <c r="J8" i="2"/>
  <c r="K7" i="2"/>
  <c r="J7" i="2"/>
  <c r="K39" i="15"/>
  <c r="L39" i="15" s="1"/>
  <c r="P39" i="15" s="1"/>
  <c r="P37" i="1" l="1"/>
  <c r="L10" i="2"/>
  <c r="L11" i="2"/>
  <c r="L7" i="19"/>
  <c r="L7" i="2"/>
  <c r="L8" i="2"/>
  <c r="L9" i="19"/>
  <c r="L10" i="19"/>
  <c r="J28" i="1"/>
  <c r="K28" i="1"/>
  <c r="L28" i="1" l="1"/>
  <c r="P37" i="2"/>
  <c r="P36" i="2"/>
  <c r="D14" i="21" l="1"/>
  <c r="J15" i="19"/>
  <c r="F5" i="21" l="1"/>
  <c r="C5" i="21"/>
  <c r="C7" i="21"/>
  <c r="F7" i="21"/>
  <c r="E7" i="21"/>
  <c r="M3" i="21"/>
  <c r="M7" i="21" s="1"/>
  <c r="L3" i="21"/>
  <c r="L7" i="21" s="1"/>
  <c r="K3" i="21"/>
  <c r="K7" i="21" s="1"/>
  <c r="J3" i="21"/>
  <c r="J7" i="21" s="1"/>
  <c r="I3" i="21"/>
  <c r="I7" i="21" s="1"/>
  <c r="H3" i="21"/>
  <c r="H7" i="21" s="1"/>
  <c r="G3" i="21"/>
  <c r="G7" i="21" s="1"/>
  <c r="F3" i="21"/>
  <c r="C53" i="1" s="1"/>
  <c r="F4" i="21" s="1"/>
  <c r="E3" i="21"/>
  <c r="C53" i="2" s="1"/>
  <c r="E5" i="21" s="1"/>
  <c r="D3" i="21"/>
  <c r="C3" i="21"/>
  <c r="C53" i="14" s="1"/>
  <c r="C4" i="21" s="1"/>
  <c r="B3" i="21"/>
  <c r="B7" i="21" s="1"/>
  <c r="D7" i="21" l="1"/>
  <c r="C53" i="15"/>
  <c r="D5" i="21" s="1"/>
  <c r="C53" i="18"/>
  <c r="M4" i="21" s="1"/>
  <c r="C53" i="10"/>
  <c r="L4" i="21" s="1"/>
  <c r="L6" i="21" s="1"/>
  <c r="C53" i="7"/>
  <c r="J4" i="21" s="1"/>
  <c r="J6" i="21" s="1"/>
  <c r="C53" i="5"/>
  <c r="I4" i="21" s="1"/>
  <c r="I6" i="21" s="1"/>
  <c r="C53" i="4"/>
  <c r="H4" i="21" s="1"/>
  <c r="H6" i="21" s="1"/>
  <c r="C53" i="3"/>
  <c r="G4" i="21" s="1"/>
  <c r="G6" i="21" s="1"/>
  <c r="C53" i="20"/>
  <c r="B4" i="21" s="1"/>
  <c r="B6" i="21" s="1"/>
  <c r="C53" i="8"/>
  <c r="K4" i="21" s="1"/>
  <c r="K6" i="21" s="1"/>
  <c r="D28" i="21"/>
  <c r="D24" i="21"/>
  <c r="D23" i="21"/>
  <c r="D22" i="21"/>
  <c r="D21" i="21"/>
  <c r="D20" i="21"/>
  <c r="D19" i="21"/>
  <c r="D18" i="21"/>
  <c r="D17" i="21"/>
  <c r="D16" i="21"/>
  <c r="D15" i="21"/>
  <c r="D13" i="21"/>
  <c r="M6" i="21"/>
  <c r="F6" i="21"/>
  <c r="E6" i="21"/>
  <c r="D6" i="21"/>
  <c r="C6" i="21"/>
  <c r="O5" i="21"/>
  <c r="P3" i="21"/>
  <c r="K11" i="20" l="1"/>
  <c r="L11" i="20"/>
  <c r="F52" i="20"/>
  <c r="F51" i="20"/>
  <c r="C46" i="20"/>
  <c r="T5" i="20" s="1"/>
  <c r="T7" i="20" s="1"/>
  <c r="T8" i="20" s="1"/>
  <c r="T9" i="20" s="1"/>
  <c r="T10" i="20" s="1"/>
  <c r="T11" i="20" s="1"/>
  <c r="AC43" i="20"/>
  <c r="V43" i="20"/>
  <c r="Y39" i="20"/>
  <c r="AD38" i="20"/>
  <c r="AD37" i="20"/>
  <c r="Z37" i="20"/>
  <c r="AD36" i="20"/>
  <c r="Y36" i="20"/>
  <c r="AD35" i="20"/>
  <c r="Z35" i="20"/>
  <c r="AD32" i="20"/>
  <c r="Y32" i="20"/>
  <c r="K32" i="20"/>
  <c r="L32" i="20" s="1"/>
  <c r="AD31" i="20"/>
  <c r="Z31" i="20"/>
  <c r="K31" i="20"/>
  <c r="L31" i="20" s="1"/>
  <c r="AD30" i="20"/>
  <c r="Z30" i="20"/>
  <c r="K30" i="20"/>
  <c r="L30" i="20" s="1"/>
  <c r="AD29" i="20"/>
  <c r="Y29" i="20"/>
  <c r="K29" i="20"/>
  <c r="L29" i="20" s="1"/>
  <c r="AD28" i="20"/>
  <c r="Z28" i="20"/>
  <c r="K28" i="20"/>
  <c r="L28" i="20" s="1"/>
  <c r="AD25" i="20"/>
  <c r="Y25" i="20"/>
  <c r="K25" i="20"/>
  <c r="L25" i="20" s="1"/>
  <c r="AD24" i="20"/>
  <c r="Y24" i="20"/>
  <c r="K24" i="20"/>
  <c r="L24" i="20" s="1"/>
  <c r="AD23" i="20"/>
  <c r="Z23" i="20"/>
  <c r="K23" i="20"/>
  <c r="L23" i="20" s="1"/>
  <c r="P23" i="20" s="1"/>
  <c r="AA23" i="20" s="1"/>
  <c r="AD22" i="20"/>
  <c r="Y22" i="20"/>
  <c r="K22" i="20"/>
  <c r="AD21" i="20"/>
  <c r="Z21" i="20"/>
  <c r="K21" i="20"/>
  <c r="L21" i="20" s="1"/>
  <c r="AD18" i="20"/>
  <c r="Y18" i="20"/>
  <c r="K18" i="20"/>
  <c r="L18" i="20" s="1"/>
  <c r="AD17" i="20"/>
  <c r="Z17" i="20"/>
  <c r="K17" i="20"/>
  <c r="L17" i="20" s="1"/>
  <c r="AD16" i="20"/>
  <c r="Z16" i="20"/>
  <c r="K16" i="20"/>
  <c r="L16" i="20" s="1"/>
  <c r="AD15" i="20"/>
  <c r="Y15" i="20"/>
  <c r="K15" i="20"/>
  <c r="AD14" i="20"/>
  <c r="Z14" i="20"/>
  <c r="K14" i="20"/>
  <c r="L14" i="20" s="1"/>
  <c r="AD11" i="20"/>
  <c r="Z11" i="20"/>
  <c r="AD10" i="20"/>
  <c r="Z10" i="20"/>
  <c r="P10" i="20"/>
  <c r="AD9" i="20"/>
  <c r="Z9" i="20"/>
  <c r="P9" i="20"/>
  <c r="AA9" i="20" s="1"/>
  <c r="Z8" i="20"/>
  <c r="AB8" i="20" s="1"/>
  <c r="Y8" i="20"/>
  <c r="P8" i="20"/>
  <c r="AB7" i="20"/>
  <c r="Z7" i="20"/>
  <c r="Y7" i="20"/>
  <c r="Q7" i="20"/>
  <c r="Q8" i="20" s="1"/>
  <c r="Q9" i="20" s="1"/>
  <c r="Q10" i="20" s="1"/>
  <c r="P7" i="20"/>
  <c r="L22" i="20" l="1"/>
  <c r="L26" i="20" s="1"/>
  <c r="L15" i="20"/>
  <c r="T14" i="20"/>
  <c r="T15" i="20" s="1"/>
  <c r="P15" i="20"/>
  <c r="P35" i="20"/>
  <c r="P31" i="20"/>
  <c r="P21" i="20"/>
  <c r="P25" i="20"/>
  <c r="P17" i="20"/>
  <c r="L19" i="20"/>
  <c r="L33" i="20"/>
  <c r="P18" i="20"/>
  <c r="P29" i="20"/>
  <c r="P24" i="20"/>
  <c r="Q11" i="20"/>
  <c r="Q13" i="20" s="1"/>
  <c r="Q14" i="20" s="1"/>
  <c r="Q15" i="20" s="1"/>
  <c r="Q16" i="20" s="1"/>
  <c r="Q17" i="20" s="1"/>
  <c r="Q18" i="20" s="1"/>
  <c r="Q20" i="20" s="1"/>
  <c r="Q21" i="20" s="1"/>
  <c r="P11" i="20"/>
  <c r="L12" i="20"/>
  <c r="P32" i="20"/>
  <c r="Y9" i="20"/>
  <c r="AA10" i="20"/>
  <c r="Y10" i="20" s="1"/>
  <c r="AB10" i="20" s="1"/>
  <c r="Y23" i="20"/>
  <c r="AB23" i="20" s="1"/>
  <c r="AA7" i="20"/>
  <c r="P16" i="20"/>
  <c r="P30" i="20"/>
  <c r="P14" i="20"/>
  <c r="P28" i="20"/>
  <c r="L40" i="20" l="1"/>
  <c r="L43" i="20" s="1"/>
  <c r="C47" i="20" s="1"/>
  <c r="C48" i="20" s="1"/>
  <c r="P22" i="20"/>
  <c r="Q22" i="20"/>
  <c r="Q23" i="20" s="1"/>
  <c r="Q24" i="20" s="1"/>
  <c r="Q25" i="20" s="1"/>
  <c r="Q27" i="20" s="1"/>
  <c r="Q28" i="20" s="1"/>
  <c r="Q29" i="20" s="1"/>
  <c r="Q30" i="20" s="1"/>
  <c r="Q31" i="20" s="1"/>
  <c r="Q32" i="20" s="1"/>
  <c r="Q34" i="20" s="1"/>
  <c r="Q35" i="20" s="1"/>
  <c r="Q36" i="20" s="1"/>
  <c r="AA14" i="20"/>
  <c r="Y14" i="20" s="1"/>
  <c r="AB14" i="20" s="1"/>
  <c r="P19" i="20"/>
  <c r="AA11" i="20"/>
  <c r="Y11" i="20"/>
  <c r="AB11" i="20" s="1"/>
  <c r="AA16" i="20"/>
  <c r="Y16" i="20" s="1"/>
  <c r="AB16" i="20" s="1"/>
  <c r="AA17" i="20"/>
  <c r="Y17" i="20" s="1"/>
  <c r="AB17" i="20" s="1"/>
  <c r="AA24" i="20"/>
  <c r="Z24" i="20"/>
  <c r="AB24" i="20" s="1"/>
  <c r="AA35" i="20"/>
  <c r="Y35" i="20" s="1"/>
  <c r="AB35" i="20" s="1"/>
  <c r="AA32" i="20"/>
  <c r="Z32" i="20"/>
  <c r="AB32" i="20" s="1"/>
  <c r="Z15" i="20"/>
  <c r="AA15" i="20"/>
  <c r="AA22" i="20"/>
  <c r="Z22" i="20"/>
  <c r="AB22" i="20" s="1"/>
  <c r="AA31" i="20"/>
  <c r="Y31" i="20"/>
  <c r="AB31" i="20" s="1"/>
  <c r="AA25" i="20"/>
  <c r="Z25" i="20"/>
  <c r="AB25" i="20" s="1"/>
  <c r="AA18" i="20"/>
  <c r="Z18" i="20"/>
  <c r="AB18" i="20" s="1"/>
  <c r="AA30" i="20"/>
  <c r="Y30" i="20" s="1"/>
  <c r="AB30" i="20" s="1"/>
  <c r="T16" i="20"/>
  <c r="T17" i="20" s="1"/>
  <c r="T18" i="20" s="1"/>
  <c r="T21" i="20" s="1"/>
  <c r="T22" i="20" s="1"/>
  <c r="T23" i="20" s="1"/>
  <c r="T24" i="20" s="1"/>
  <c r="T25" i="20" s="1"/>
  <c r="T28" i="20" s="1"/>
  <c r="T29" i="20" s="1"/>
  <c r="T30" i="20" s="1"/>
  <c r="T31" i="20" s="1"/>
  <c r="T32" i="20" s="1"/>
  <c r="T35" i="20" s="1"/>
  <c r="T36" i="20" s="1"/>
  <c r="T37" i="20" s="1"/>
  <c r="T38" i="20" s="1"/>
  <c r="T39" i="20" s="1"/>
  <c r="AB9" i="20"/>
  <c r="Z29" i="20"/>
  <c r="AB29" i="20" s="1"/>
  <c r="AA29" i="20"/>
  <c r="P26" i="20"/>
  <c r="AA21" i="20"/>
  <c r="Y21" i="20" s="1"/>
  <c r="AB21" i="20" s="1"/>
  <c r="P12" i="20"/>
  <c r="AA28" i="20"/>
  <c r="Y28" i="20" s="1"/>
  <c r="AB28" i="20" s="1"/>
  <c r="P33" i="20"/>
  <c r="C49" i="20" l="1"/>
  <c r="B8" i="21"/>
  <c r="P36" i="20"/>
  <c r="AA36" i="20" s="1"/>
  <c r="AB15" i="20"/>
  <c r="P37" i="20"/>
  <c r="Q37" i="20"/>
  <c r="B9" i="21" l="1"/>
  <c r="Z36" i="20"/>
  <c r="AB36" i="20" s="1"/>
  <c r="AA37" i="20"/>
  <c r="Y37" i="20" s="1"/>
  <c r="P38" i="20"/>
  <c r="Q38" i="20"/>
  <c r="AB37" i="20" l="1"/>
  <c r="P39" i="20"/>
  <c r="P40" i="20" s="1"/>
  <c r="P43" i="20" s="1"/>
  <c r="Q39" i="20"/>
  <c r="AA38" i="20"/>
  <c r="Y38" i="20" s="1"/>
  <c r="Y42" i="20" s="1"/>
  <c r="Y44" i="20" s="1"/>
  <c r="Z38" i="20"/>
  <c r="AA39" i="20" l="1"/>
  <c r="AA42" i="20" s="1"/>
  <c r="AA44" i="20" s="1"/>
  <c r="Z39" i="20"/>
  <c r="AB39" i="20" s="1"/>
  <c r="AB38" i="20"/>
  <c r="AB42" i="20" l="1"/>
  <c r="Z42" i="20"/>
  <c r="Z44" i="20" s="1"/>
  <c r="AB44" i="20" s="1"/>
  <c r="F52" i="19" l="1"/>
  <c r="F51" i="19"/>
  <c r="C46" i="19"/>
  <c r="T5" i="19" s="1"/>
  <c r="T7" i="19" s="1"/>
  <c r="T8" i="19" s="1"/>
  <c r="AC43" i="19"/>
  <c r="V43" i="19"/>
  <c r="Y39" i="19"/>
  <c r="AD38" i="19"/>
  <c r="Y38" i="19"/>
  <c r="AD37" i="19"/>
  <c r="Z37" i="19"/>
  <c r="AD36" i="19"/>
  <c r="Y36" i="19"/>
  <c r="AD35" i="19"/>
  <c r="Z35" i="19"/>
  <c r="AD32" i="19"/>
  <c r="Y32" i="19"/>
  <c r="AD31" i="19"/>
  <c r="Z31" i="19"/>
  <c r="AD30" i="19"/>
  <c r="Z30" i="19"/>
  <c r="AD29" i="19"/>
  <c r="Y29" i="19"/>
  <c r="AD28" i="19"/>
  <c r="Z28" i="19"/>
  <c r="AD25" i="19"/>
  <c r="Y25" i="19"/>
  <c r="K25" i="19"/>
  <c r="L25" i="19" s="1"/>
  <c r="AD24" i="19"/>
  <c r="Y24" i="19"/>
  <c r="K24" i="19"/>
  <c r="J24" i="19"/>
  <c r="AD23" i="19"/>
  <c r="Z23" i="19"/>
  <c r="K23" i="19"/>
  <c r="J23" i="19"/>
  <c r="AD22" i="19"/>
  <c r="Y22" i="19"/>
  <c r="K22" i="19"/>
  <c r="J22" i="19"/>
  <c r="AD21" i="19"/>
  <c r="Z21" i="19"/>
  <c r="K21" i="19"/>
  <c r="J21" i="19"/>
  <c r="AD18" i="19"/>
  <c r="Y18" i="19"/>
  <c r="K18" i="19"/>
  <c r="L18" i="19" s="1"/>
  <c r="AD17" i="19"/>
  <c r="Z17" i="19"/>
  <c r="K17" i="19"/>
  <c r="J17" i="19"/>
  <c r="AD16" i="19"/>
  <c r="Z16" i="19"/>
  <c r="K16" i="19"/>
  <c r="J16" i="19"/>
  <c r="AD15" i="19"/>
  <c r="Y15" i="19"/>
  <c r="K15" i="19"/>
  <c r="L15" i="19" s="1"/>
  <c r="AD14" i="19"/>
  <c r="Z14" i="19"/>
  <c r="K14" i="19"/>
  <c r="J14" i="19"/>
  <c r="AD11" i="19"/>
  <c r="Y11" i="19"/>
  <c r="AD10" i="19"/>
  <c r="AD9" i="19"/>
  <c r="Z9" i="19"/>
  <c r="Y8" i="19"/>
  <c r="P8" i="19"/>
  <c r="Z8" i="19" s="1"/>
  <c r="AB8" i="19" s="1"/>
  <c r="Z7" i="19"/>
  <c r="Q7" i="19"/>
  <c r="Q8" i="19" s="1"/>
  <c r="P7" i="19"/>
  <c r="K38" i="18"/>
  <c r="L38" i="18" s="1"/>
  <c r="P38" i="18" s="1"/>
  <c r="K37" i="18"/>
  <c r="L37" i="18" s="1"/>
  <c r="P37" i="18" s="1"/>
  <c r="F52" i="18"/>
  <c r="F51" i="18"/>
  <c r="C46" i="18"/>
  <c r="T5" i="18" s="1"/>
  <c r="AC43" i="18"/>
  <c r="V43" i="18"/>
  <c r="Y39" i="18"/>
  <c r="AD38" i="18"/>
  <c r="AD37" i="18"/>
  <c r="Z37" i="18"/>
  <c r="AD36" i="18"/>
  <c r="Y36" i="18"/>
  <c r="K36" i="18"/>
  <c r="J36" i="18"/>
  <c r="AD35" i="18"/>
  <c r="Z35" i="18"/>
  <c r="K35" i="18"/>
  <c r="L35" i="18" s="1"/>
  <c r="AD32" i="18"/>
  <c r="Y32" i="18"/>
  <c r="K32" i="18"/>
  <c r="L32" i="18" s="1"/>
  <c r="AD31" i="18"/>
  <c r="Z31" i="18"/>
  <c r="K31" i="18"/>
  <c r="J31" i="18"/>
  <c r="AD30" i="18"/>
  <c r="Z30" i="18"/>
  <c r="K30" i="18"/>
  <c r="J30" i="18"/>
  <c r="L30" i="18" s="1"/>
  <c r="AD29" i="18"/>
  <c r="Y29" i="18"/>
  <c r="K29" i="18"/>
  <c r="L29" i="18" s="1"/>
  <c r="J29" i="18"/>
  <c r="AD28" i="18"/>
  <c r="Z28" i="18"/>
  <c r="K28" i="18"/>
  <c r="L28" i="18" s="1"/>
  <c r="J28" i="18"/>
  <c r="AD25" i="18"/>
  <c r="Y25" i="18"/>
  <c r="K25" i="18"/>
  <c r="L25" i="18" s="1"/>
  <c r="P25" i="18" s="1"/>
  <c r="AA25" i="18" s="1"/>
  <c r="AD24" i="18"/>
  <c r="Y24" i="18"/>
  <c r="K24" i="18"/>
  <c r="L24" i="18" s="1"/>
  <c r="AD23" i="18"/>
  <c r="Z23" i="18"/>
  <c r="K23" i="18"/>
  <c r="AD22" i="18"/>
  <c r="Y22" i="18"/>
  <c r="K22" i="18"/>
  <c r="L22" i="18" s="1"/>
  <c r="AD21" i="18"/>
  <c r="Z21" i="18"/>
  <c r="K21" i="18"/>
  <c r="AD18" i="18"/>
  <c r="Y18" i="18"/>
  <c r="K18" i="18"/>
  <c r="L18" i="18" s="1"/>
  <c r="AD17" i="18"/>
  <c r="Z17" i="18"/>
  <c r="K17" i="18"/>
  <c r="J17" i="18"/>
  <c r="AD16" i="18"/>
  <c r="Z16" i="18"/>
  <c r="K16" i="18"/>
  <c r="J16" i="18"/>
  <c r="AD15" i="18"/>
  <c r="Y15" i="18"/>
  <c r="K15" i="18"/>
  <c r="J15" i="18"/>
  <c r="AD14" i="18"/>
  <c r="Z14" i="18"/>
  <c r="K14" i="18"/>
  <c r="J14" i="18"/>
  <c r="AD11" i="18"/>
  <c r="Y11" i="18"/>
  <c r="K11" i="18"/>
  <c r="L11" i="18" s="1"/>
  <c r="AD10" i="18"/>
  <c r="K10" i="18"/>
  <c r="J10" i="18"/>
  <c r="AD9" i="18"/>
  <c r="Z9" i="18"/>
  <c r="Y8" i="18"/>
  <c r="Z7" i="18"/>
  <c r="J36" i="10"/>
  <c r="L36" i="10" s="1"/>
  <c r="P36" i="10" s="1"/>
  <c r="K36" i="10"/>
  <c r="L17" i="18" l="1"/>
  <c r="L31" i="18"/>
  <c r="L22" i="19"/>
  <c r="L17" i="19"/>
  <c r="P17" i="19" s="1"/>
  <c r="AA17" i="19" s="1"/>
  <c r="Y17" i="19" s="1"/>
  <c r="AB17" i="19" s="1"/>
  <c r="L23" i="19"/>
  <c r="L21" i="19"/>
  <c r="P21" i="19" s="1"/>
  <c r="AA21" i="19" s="1"/>
  <c r="Y21" i="19" s="1"/>
  <c r="AB21" i="19" s="1"/>
  <c r="L10" i="18"/>
  <c r="L36" i="18"/>
  <c r="L16" i="18"/>
  <c r="P16" i="18" s="1"/>
  <c r="L14" i="18"/>
  <c r="L19" i="18" s="1"/>
  <c r="L15" i="18"/>
  <c r="P15" i="18" s="1"/>
  <c r="L21" i="18"/>
  <c r="P21" i="18" s="1"/>
  <c r="L23" i="18"/>
  <c r="P23" i="18" s="1"/>
  <c r="L14" i="19"/>
  <c r="P14" i="19" s="1"/>
  <c r="L24" i="19"/>
  <c r="P24" i="19" s="1"/>
  <c r="L16" i="19"/>
  <c r="P16" i="19" s="1"/>
  <c r="L40" i="19"/>
  <c r="P11" i="19"/>
  <c r="P29" i="19"/>
  <c r="L12" i="19"/>
  <c r="P9" i="19"/>
  <c r="Q9" i="19"/>
  <c r="Q10" i="19" s="1"/>
  <c r="Q11" i="19" s="1"/>
  <c r="Q13" i="19" s="1"/>
  <c r="Q14" i="19" s="1"/>
  <c r="Q15" i="19" s="1"/>
  <c r="Q16" i="19" s="1"/>
  <c r="Q17" i="19" s="1"/>
  <c r="Q18" i="19" s="1"/>
  <c r="Q20" i="19" s="1"/>
  <c r="Q21" i="19" s="1"/>
  <c r="Q22" i="19" s="1"/>
  <c r="Q23" i="19" s="1"/>
  <c r="P35" i="19"/>
  <c r="P25" i="19"/>
  <c r="P15" i="19"/>
  <c r="P28" i="19"/>
  <c r="L33" i="19"/>
  <c r="P31" i="19"/>
  <c r="P32" i="19"/>
  <c r="P30" i="19"/>
  <c r="P22" i="19"/>
  <c r="P10" i="19"/>
  <c r="P18" i="19"/>
  <c r="T9" i="19"/>
  <c r="T10" i="19" s="1"/>
  <c r="T11" i="19" s="1"/>
  <c r="P23" i="19"/>
  <c r="AA7" i="19"/>
  <c r="P9" i="18"/>
  <c r="P18" i="18"/>
  <c r="P30" i="18"/>
  <c r="P10" i="18"/>
  <c r="L33" i="18"/>
  <c r="P28" i="18"/>
  <c r="T7" i="18"/>
  <c r="T8" i="18" s="1"/>
  <c r="T9" i="18" s="1"/>
  <c r="T10" i="18" s="1"/>
  <c r="T11" i="18" s="1"/>
  <c r="T14" i="18" s="1"/>
  <c r="T15" i="18" s="1"/>
  <c r="Q7" i="18"/>
  <c r="Q8" i="18" s="1"/>
  <c r="Q9" i="18" s="1"/>
  <c r="Q10" i="18" s="1"/>
  <c r="Q11" i="18" s="1"/>
  <c r="Q13" i="18" s="1"/>
  <c r="Q14" i="18" s="1"/>
  <c r="Q15" i="18" s="1"/>
  <c r="Q16" i="18" s="1"/>
  <c r="Q17" i="18" s="1"/>
  <c r="Q18" i="18" s="1"/>
  <c r="Q20" i="18" s="1"/>
  <c r="L12" i="18"/>
  <c r="P7" i="18"/>
  <c r="P31" i="18"/>
  <c r="P22" i="18"/>
  <c r="P11" i="18"/>
  <c r="P8" i="18"/>
  <c r="Z8" i="18" s="1"/>
  <c r="AB8" i="18" s="1"/>
  <c r="P24" i="18"/>
  <c r="P32" i="18"/>
  <c r="P29" i="18"/>
  <c r="Z25" i="18"/>
  <c r="AB25" i="18" s="1"/>
  <c r="P17" i="18"/>
  <c r="P35" i="18"/>
  <c r="C46" i="1"/>
  <c r="C46" i="14"/>
  <c r="P14" i="18" l="1"/>
  <c r="L40" i="18"/>
  <c r="P36" i="18"/>
  <c r="T14" i="19"/>
  <c r="T15" i="19" s="1"/>
  <c r="T16" i="19" s="1"/>
  <c r="T17" i="19" s="1"/>
  <c r="T18" i="19" s="1"/>
  <c r="T21" i="19" s="1"/>
  <c r="T22" i="19" s="1"/>
  <c r="T23" i="19" s="1"/>
  <c r="T24" i="19" s="1"/>
  <c r="T25" i="19" s="1"/>
  <c r="T28" i="19" s="1"/>
  <c r="T29" i="19" s="1"/>
  <c r="T30" i="19" s="1"/>
  <c r="T31" i="19" s="1"/>
  <c r="T32" i="19" s="1"/>
  <c r="T35" i="19" s="1"/>
  <c r="T36" i="19" s="1"/>
  <c r="T37" i="19" s="1"/>
  <c r="T38" i="19" s="1"/>
  <c r="T39" i="19" s="1"/>
  <c r="Q21" i="18"/>
  <c r="Q22" i="18" s="1"/>
  <c r="Q23" i="18" s="1"/>
  <c r="Q24" i="18" s="1"/>
  <c r="Q25" i="18" s="1"/>
  <c r="Q27" i="18" s="1"/>
  <c r="Q28" i="18" s="1"/>
  <c r="Q29" i="18" s="1"/>
  <c r="Q30" i="18" s="1"/>
  <c r="Q31" i="18" s="1"/>
  <c r="Q32" i="18" s="1"/>
  <c r="Q34" i="18" s="1"/>
  <c r="Q35" i="18" s="1"/>
  <c r="Q36" i="18" s="1"/>
  <c r="L26" i="18"/>
  <c r="L43" i="18" s="1"/>
  <c r="C47" i="18" s="1"/>
  <c r="M8" i="21" s="1"/>
  <c r="L19" i="19"/>
  <c r="Q24" i="19"/>
  <c r="Q25" i="19" s="1"/>
  <c r="Q27" i="19" s="1"/>
  <c r="Q28" i="19" s="1"/>
  <c r="Q29" i="19" s="1"/>
  <c r="Q30" i="19" s="1"/>
  <c r="Q31" i="19" s="1"/>
  <c r="Q32" i="19" s="1"/>
  <c r="Q34" i="19" s="1"/>
  <c r="Q35" i="19" s="1"/>
  <c r="P36" i="19" s="1"/>
  <c r="L26" i="19"/>
  <c r="L43" i="19" s="1"/>
  <c r="C47" i="19" s="1"/>
  <c r="N8" i="21" s="1"/>
  <c r="P26" i="19"/>
  <c r="AA9" i="19"/>
  <c r="Y9" i="19" s="1"/>
  <c r="AB9" i="19" s="1"/>
  <c r="AA28" i="19"/>
  <c r="Y28" i="19" s="1"/>
  <c r="AB28" i="19" s="1"/>
  <c r="P33" i="19"/>
  <c r="AA22" i="19"/>
  <c r="Z22" i="19"/>
  <c r="AB22" i="19" s="1"/>
  <c r="AA23" i="19"/>
  <c r="Y23" i="19" s="1"/>
  <c r="AB23" i="19" s="1"/>
  <c r="AA16" i="19"/>
  <c r="Y16" i="19" s="1"/>
  <c r="AB16" i="19" s="1"/>
  <c r="AA31" i="19"/>
  <c r="Y31" i="19" s="1"/>
  <c r="AB31" i="19" s="1"/>
  <c r="AA30" i="19"/>
  <c r="Y30" i="19" s="1"/>
  <c r="AB30" i="19" s="1"/>
  <c r="AA15" i="19"/>
  <c r="Z15" i="19"/>
  <c r="AB15" i="19" s="1"/>
  <c r="AA25" i="19"/>
  <c r="Z25" i="19"/>
  <c r="AB25" i="19" s="1"/>
  <c r="AA14" i="19"/>
  <c r="Y14" i="19" s="1"/>
  <c r="AB14" i="19" s="1"/>
  <c r="P19" i="19"/>
  <c r="AA24" i="19"/>
  <c r="Z24" i="19"/>
  <c r="AB24" i="19" s="1"/>
  <c r="P12" i="19"/>
  <c r="AA18" i="19"/>
  <c r="Z18" i="19"/>
  <c r="AB18" i="19" s="1"/>
  <c r="AA32" i="19"/>
  <c r="Z32" i="19"/>
  <c r="AB32" i="19" s="1"/>
  <c r="Z29" i="19"/>
  <c r="AB29" i="19" s="1"/>
  <c r="AA29" i="19"/>
  <c r="AA11" i="19"/>
  <c r="Z11" i="19"/>
  <c r="AB11" i="19" s="1"/>
  <c r="Y7" i="19"/>
  <c r="AA10" i="19"/>
  <c r="Y10" i="19" s="1"/>
  <c r="Z10" i="19"/>
  <c r="AA35" i="19"/>
  <c r="Y35" i="19" s="1"/>
  <c r="AB35" i="19" s="1"/>
  <c r="AA22" i="18"/>
  <c r="Z22" i="18"/>
  <c r="AB22" i="18" s="1"/>
  <c r="P19" i="18"/>
  <c r="AA14" i="18"/>
  <c r="Y14" i="18" s="1"/>
  <c r="AB14" i="18" s="1"/>
  <c r="AA24" i="18"/>
  <c r="Z24" i="18"/>
  <c r="AB24" i="18" s="1"/>
  <c r="AA10" i="18"/>
  <c r="Y10" i="18" s="1"/>
  <c r="Z10" i="18"/>
  <c r="AA35" i="18"/>
  <c r="Y35" i="18" s="1"/>
  <c r="AB35" i="18" s="1"/>
  <c r="AA7" i="18"/>
  <c r="Y7" i="18" s="1"/>
  <c r="P12" i="18"/>
  <c r="Z15" i="18"/>
  <c r="AB15" i="18" s="1"/>
  <c r="AA15" i="18"/>
  <c r="AA18" i="18"/>
  <c r="Z18" i="18"/>
  <c r="AB18" i="18" s="1"/>
  <c r="AA31" i="18"/>
  <c r="Y31" i="18" s="1"/>
  <c r="AB31" i="18" s="1"/>
  <c r="AA17" i="18"/>
  <c r="Y17" i="18" s="1"/>
  <c r="AB17" i="18" s="1"/>
  <c r="AA16" i="18"/>
  <c r="Y16" i="18" s="1"/>
  <c r="AB16" i="18" s="1"/>
  <c r="T16" i="18"/>
  <c r="T17" i="18" s="1"/>
  <c r="T18" i="18" s="1"/>
  <c r="T21" i="18" s="1"/>
  <c r="T22" i="18" s="1"/>
  <c r="T23" i="18" s="1"/>
  <c r="T24" i="18" s="1"/>
  <c r="T25" i="18" s="1"/>
  <c r="T28" i="18" s="1"/>
  <c r="T29" i="18" s="1"/>
  <c r="T30" i="18" s="1"/>
  <c r="T31" i="18" s="1"/>
  <c r="T32" i="18" s="1"/>
  <c r="T35" i="18" s="1"/>
  <c r="T36" i="18" s="1"/>
  <c r="T37" i="18" s="1"/>
  <c r="T38" i="18" s="1"/>
  <c r="T39" i="18" s="1"/>
  <c r="AA30" i="18"/>
  <c r="Y30" i="18" s="1"/>
  <c r="AB30" i="18" s="1"/>
  <c r="AA23" i="18"/>
  <c r="Y23" i="18" s="1"/>
  <c r="AB23" i="18" s="1"/>
  <c r="AA21" i="18"/>
  <c r="Y21" i="18" s="1"/>
  <c r="AB21" i="18" s="1"/>
  <c r="P26" i="18"/>
  <c r="AA29" i="18"/>
  <c r="Z29" i="18"/>
  <c r="AB29" i="18" s="1"/>
  <c r="AA11" i="18"/>
  <c r="Z11" i="18"/>
  <c r="AB11" i="18" s="1"/>
  <c r="AA28" i="18"/>
  <c r="Y28" i="18" s="1"/>
  <c r="AB28" i="18" s="1"/>
  <c r="P33" i="18"/>
  <c r="AA9" i="18"/>
  <c r="Y9" i="18" s="1"/>
  <c r="AB9" i="18" s="1"/>
  <c r="AA32" i="18"/>
  <c r="Z32" i="18"/>
  <c r="AB32" i="18" s="1"/>
  <c r="AA36" i="18" l="1"/>
  <c r="Q36" i="19"/>
  <c r="P37" i="19" s="1"/>
  <c r="M9" i="21"/>
  <c r="C49" i="18"/>
  <c r="C49" i="19"/>
  <c r="C48" i="19"/>
  <c r="AB7" i="19"/>
  <c r="AB10" i="19"/>
  <c r="AA36" i="19"/>
  <c r="Z36" i="19"/>
  <c r="AB36" i="19" s="1"/>
  <c r="C48" i="18"/>
  <c r="AB7" i="18"/>
  <c r="AB10" i="18"/>
  <c r="Q37" i="18"/>
  <c r="J22" i="10"/>
  <c r="J29" i="8"/>
  <c r="J36" i="7"/>
  <c r="J29" i="7"/>
  <c r="J22" i="7"/>
  <c r="J8" i="5"/>
  <c r="J22" i="5"/>
  <c r="J29" i="5"/>
  <c r="J22" i="4"/>
  <c r="J29" i="4"/>
  <c r="J15" i="3"/>
  <c r="J29" i="3"/>
  <c r="J36" i="3"/>
  <c r="Z36" i="18" l="1"/>
  <c r="AB36" i="18" s="1"/>
  <c r="Q37" i="19"/>
  <c r="Q38" i="19" s="1"/>
  <c r="AA37" i="19"/>
  <c r="Y37" i="19" s="1"/>
  <c r="AA37" i="18"/>
  <c r="Y37" i="18" s="1"/>
  <c r="Q38" i="18"/>
  <c r="K36" i="1"/>
  <c r="J36" i="1"/>
  <c r="K35" i="1"/>
  <c r="J35" i="1"/>
  <c r="J29" i="1"/>
  <c r="J15" i="14"/>
  <c r="P38" i="19" l="1"/>
  <c r="AA38" i="19" s="1"/>
  <c r="AB37" i="19"/>
  <c r="Y42" i="19"/>
  <c r="Y44" i="19" s="1"/>
  <c r="Q39" i="19"/>
  <c r="P39" i="19"/>
  <c r="AB37" i="18"/>
  <c r="AA38" i="18"/>
  <c r="Y38" i="18" s="1"/>
  <c r="Y42" i="18" s="1"/>
  <c r="Y44" i="18" s="1"/>
  <c r="Z38" i="18"/>
  <c r="Q39" i="18"/>
  <c r="L35" i="1"/>
  <c r="P35" i="1" s="1"/>
  <c r="L36" i="1"/>
  <c r="P36" i="1" s="1"/>
  <c r="K39" i="3"/>
  <c r="L39" i="3" s="1"/>
  <c r="P39" i="3" s="1"/>
  <c r="AA39" i="18" l="1"/>
  <c r="AA42" i="18" s="1"/>
  <c r="AA44" i="18" s="1"/>
  <c r="Z39" i="18"/>
  <c r="AB39" i="18" s="1"/>
  <c r="Z38" i="19"/>
  <c r="AB38" i="19" s="1"/>
  <c r="AA39" i="19"/>
  <c r="AA42" i="19" s="1"/>
  <c r="AA44" i="19" s="1"/>
  <c r="Z39" i="19"/>
  <c r="AB39" i="19" s="1"/>
  <c r="P40" i="19"/>
  <c r="P43" i="19" s="1"/>
  <c r="AB38" i="18"/>
  <c r="P40" i="18"/>
  <c r="P43" i="18" s="1"/>
  <c r="K37" i="5"/>
  <c r="L37" i="5" s="1"/>
  <c r="P37" i="5" s="1"/>
  <c r="K10" i="4"/>
  <c r="L10" i="4" s="1"/>
  <c r="K9" i="4"/>
  <c r="L9" i="4" s="1"/>
  <c r="K8" i="4"/>
  <c r="K11" i="4"/>
  <c r="L11" i="4" s="1"/>
  <c r="Z42" i="18" l="1"/>
  <c r="Z44" i="18" s="1"/>
  <c r="AB44" i="18" s="1"/>
  <c r="AB42" i="18"/>
  <c r="AB42" i="19"/>
  <c r="Z42" i="19"/>
  <c r="Z44" i="19" s="1"/>
  <c r="AB44" i="19" s="1"/>
  <c r="L8" i="4"/>
  <c r="K35" i="2"/>
  <c r="L35" i="2" s="1"/>
  <c r="P35" i="2" s="1"/>
  <c r="J35" i="2"/>
  <c r="K37" i="15" l="1"/>
  <c r="L37" i="15" s="1"/>
  <c r="P37" i="15" s="1"/>
  <c r="K38" i="15"/>
  <c r="L38" i="15" s="1"/>
  <c r="P38" i="15" s="1"/>
  <c r="K14" i="14"/>
  <c r="L14" i="14" s="1"/>
  <c r="K21" i="14"/>
  <c r="L21" i="14" s="1"/>
  <c r="K28" i="14"/>
  <c r="L28" i="14" s="1"/>
  <c r="K35" i="14"/>
  <c r="L35" i="14" s="1"/>
  <c r="P14" i="14" l="1"/>
  <c r="K36" i="15"/>
  <c r="L36" i="15" s="1"/>
  <c r="P36" i="15" s="1"/>
  <c r="K32" i="2" l="1"/>
  <c r="J32" i="2"/>
  <c r="K31" i="2"/>
  <c r="J31" i="2"/>
  <c r="K30" i="2"/>
  <c r="J30" i="2"/>
  <c r="K29" i="2"/>
  <c r="J29" i="2"/>
  <c r="K28" i="2"/>
  <c r="J28" i="2"/>
  <c r="K25" i="2"/>
  <c r="J25" i="2"/>
  <c r="K24" i="2"/>
  <c r="J24" i="2"/>
  <c r="K23" i="2"/>
  <c r="J23" i="2"/>
  <c r="K22" i="2"/>
  <c r="J22" i="2"/>
  <c r="K21" i="2"/>
  <c r="J21" i="2"/>
  <c r="K18" i="2"/>
  <c r="J18" i="2"/>
  <c r="K17" i="2"/>
  <c r="J17" i="2"/>
  <c r="K16" i="2"/>
  <c r="J16" i="2"/>
  <c r="K15" i="2"/>
  <c r="L15" i="2" s="1"/>
  <c r="J15" i="2"/>
  <c r="K14" i="2"/>
  <c r="J14" i="2"/>
  <c r="C46" i="15"/>
  <c r="T5" i="15" s="1"/>
  <c r="AC43" i="15"/>
  <c r="V43" i="15"/>
  <c r="Y39" i="15"/>
  <c r="AD38" i="15"/>
  <c r="AD37" i="15"/>
  <c r="Z37" i="15"/>
  <c r="AD36" i="15"/>
  <c r="Y36" i="15"/>
  <c r="AD35" i="15"/>
  <c r="K35" i="15"/>
  <c r="AD32" i="15"/>
  <c r="K32" i="15"/>
  <c r="L32" i="15" s="1"/>
  <c r="AD31" i="15"/>
  <c r="K31" i="15"/>
  <c r="J31" i="15"/>
  <c r="AD30" i="15"/>
  <c r="Z30" i="15"/>
  <c r="K30" i="15"/>
  <c r="J30" i="15"/>
  <c r="AD29" i="15"/>
  <c r="K29" i="15"/>
  <c r="J29" i="15"/>
  <c r="AD28" i="15"/>
  <c r="K28" i="15"/>
  <c r="J28" i="15"/>
  <c r="AD25" i="15"/>
  <c r="Y25" i="15"/>
  <c r="K25" i="15"/>
  <c r="L25" i="15" s="1"/>
  <c r="AD24" i="15"/>
  <c r="Z24" i="15"/>
  <c r="K24" i="15"/>
  <c r="J24" i="15"/>
  <c r="AD23" i="15"/>
  <c r="Z23" i="15"/>
  <c r="K23" i="15"/>
  <c r="J23" i="15"/>
  <c r="AD22" i="15"/>
  <c r="K22" i="15"/>
  <c r="J22" i="15"/>
  <c r="AD21" i="15"/>
  <c r="K21" i="15"/>
  <c r="J21" i="15"/>
  <c r="AD18" i="15"/>
  <c r="Y18" i="15"/>
  <c r="K18" i="15"/>
  <c r="L18" i="15" s="1"/>
  <c r="AD17" i="15"/>
  <c r="K17" i="15"/>
  <c r="J17" i="15"/>
  <c r="AD16" i="15"/>
  <c r="Z16" i="15"/>
  <c r="K16" i="15"/>
  <c r="J16" i="15"/>
  <c r="AD15" i="15"/>
  <c r="K15" i="15"/>
  <c r="J15" i="15"/>
  <c r="AD14" i="15"/>
  <c r="K14" i="15"/>
  <c r="J14" i="15"/>
  <c r="AD11" i="15"/>
  <c r="K11" i="15"/>
  <c r="L11" i="15" s="1"/>
  <c r="AD10" i="15"/>
  <c r="K10" i="15"/>
  <c r="J10" i="15"/>
  <c r="AD9" i="15"/>
  <c r="Z9" i="15"/>
  <c r="K9" i="15"/>
  <c r="J9" i="15"/>
  <c r="Z7" i="15"/>
  <c r="Y7" i="15"/>
  <c r="P7" i="15"/>
  <c r="T5" i="14"/>
  <c r="AC43" i="14"/>
  <c r="V43" i="14"/>
  <c r="L40" i="14"/>
  <c r="Z39" i="14"/>
  <c r="Y39" i="14"/>
  <c r="AD38" i="14"/>
  <c r="Z38" i="14"/>
  <c r="Y38" i="14"/>
  <c r="AD37" i="14"/>
  <c r="Z37" i="14"/>
  <c r="Y37" i="14"/>
  <c r="AD36" i="14"/>
  <c r="Y36" i="14"/>
  <c r="AD35" i="14"/>
  <c r="Z35" i="14"/>
  <c r="P35" i="14"/>
  <c r="AA35" i="14" s="1"/>
  <c r="Y35" i="14" s="1"/>
  <c r="AD32" i="14"/>
  <c r="K32" i="14"/>
  <c r="L32" i="14" s="1"/>
  <c r="AD31" i="14"/>
  <c r="K31" i="14"/>
  <c r="L31" i="14" s="1"/>
  <c r="AD30" i="14"/>
  <c r="Z30" i="14"/>
  <c r="K30" i="14"/>
  <c r="L30" i="14" s="1"/>
  <c r="AD29" i="14"/>
  <c r="K29" i="14"/>
  <c r="L29" i="14" s="1"/>
  <c r="AD28" i="14"/>
  <c r="AD25" i="14"/>
  <c r="K25" i="14"/>
  <c r="L25" i="14" s="1"/>
  <c r="AD24" i="14"/>
  <c r="K24" i="14"/>
  <c r="L24" i="14" s="1"/>
  <c r="AD23" i="14"/>
  <c r="Z23" i="14"/>
  <c r="K23" i="14"/>
  <c r="L23" i="14" s="1"/>
  <c r="AD22" i="14"/>
  <c r="K22" i="14"/>
  <c r="L22" i="14" s="1"/>
  <c r="AD21" i="14"/>
  <c r="Z21" i="14"/>
  <c r="AD18" i="14"/>
  <c r="K18" i="14"/>
  <c r="AD17" i="14"/>
  <c r="K17" i="14"/>
  <c r="AD16" i="14"/>
  <c r="Z16" i="14"/>
  <c r="K16" i="14"/>
  <c r="L16" i="14" s="1"/>
  <c r="AD15" i="14"/>
  <c r="K15" i="14"/>
  <c r="L15" i="14" s="1"/>
  <c r="AD14" i="14"/>
  <c r="Z14" i="14"/>
  <c r="AD11" i="14"/>
  <c r="AD10" i="14"/>
  <c r="AD9" i="14"/>
  <c r="Z9" i="14"/>
  <c r="P8" i="14"/>
  <c r="Y8" i="14" s="1"/>
  <c r="Z7" i="14"/>
  <c r="C46" i="10"/>
  <c r="T5" i="10" s="1"/>
  <c r="AC43" i="10"/>
  <c r="V43" i="10"/>
  <c r="Z39" i="10"/>
  <c r="Y39" i="10"/>
  <c r="AD38" i="10"/>
  <c r="Z38" i="10"/>
  <c r="Y38" i="10"/>
  <c r="AD37" i="10"/>
  <c r="Z37" i="10"/>
  <c r="AD36" i="10"/>
  <c r="Y36" i="10"/>
  <c r="AD35" i="10"/>
  <c r="K35" i="10"/>
  <c r="L35" i="10" s="1"/>
  <c r="AD32" i="10"/>
  <c r="K32" i="10"/>
  <c r="L32" i="10" s="1"/>
  <c r="P32" i="10" s="1"/>
  <c r="AA32" i="10" s="1"/>
  <c r="Y32" i="10" s="1"/>
  <c r="AD31" i="10"/>
  <c r="Z31" i="10"/>
  <c r="K31" i="10"/>
  <c r="J31" i="10"/>
  <c r="AD30" i="10"/>
  <c r="Z30" i="10"/>
  <c r="K30" i="10"/>
  <c r="J30" i="10"/>
  <c r="AD29" i="10"/>
  <c r="K29" i="10"/>
  <c r="AD28" i="10"/>
  <c r="K28" i="10"/>
  <c r="J28" i="10"/>
  <c r="AD25" i="10"/>
  <c r="AD24" i="10"/>
  <c r="K24" i="10"/>
  <c r="J24" i="10"/>
  <c r="AD23" i="10"/>
  <c r="Z23" i="10"/>
  <c r="K23" i="10"/>
  <c r="J23" i="10"/>
  <c r="AD22" i="10"/>
  <c r="K22" i="10"/>
  <c r="L22" i="10" s="1"/>
  <c r="AD21" i="10"/>
  <c r="K21" i="10"/>
  <c r="J21" i="10"/>
  <c r="AD18" i="10"/>
  <c r="K18" i="10"/>
  <c r="L18" i="10" s="1"/>
  <c r="P18" i="10" s="1"/>
  <c r="AA18" i="10" s="1"/>
  <c r="Y18" i="10" s="1"/>
  <c r="AD17" i="10"/>
  <c r="Z17" i="10"/>
  <c r="K17" i="10"/>
  <c r="J17" i="10"/>
  <c r="AD16" i="10"/>
  <c r="Z16" i="10"/>
  <c r="K16" i="10"/>
  <c r="J16" i="10"/>
  <c r="AD15" i="10"/>
  <c r="K15" i="10"/>
  <c r="L15" i="10" s="1"/>
  <c r="AD14" i="10"/>
  <c r="K14" i="10"/>
  <c r="J14" i="10"/>
  <c r="AD11" i="10"/>
  <c r="K11" i="10"/>
  <c r="L11" i="10" s="1"/>
  <c r="P11" i="10" s="1"/>
  <c r="Z11" i="10" s="1"/>
  <c r="AD10" i="10"/>
  <c r="K10" i="10"/>
  <c r="J10" i="10"/>
  <c r="AD9" i="10"/>
  <c r="Z9" i="10"/>
  <c r="K9" i="10"/>
  <c r="J9" i="10"/>
  <c r="K8" i="10"/>
  <c r="Z7" i="10"/>
  <c r="K7" i="10"/>
  <c r="J7" i="10"/>
  <c r="P7" i="3"/>
  <c r="Q7" i="3"/>
  <c r="Q8" i="3" s="1"/>
  <c r="P8" i="3"/>
  <c r="K18" i="4"/>
  <c r="L18" i="4" s="1"/>
  <c r="K17" i="4"/>
  <c r="L17" i="4" s="1"/>
  <c r="K16" i="4"/>
  <c r="L16" i="4" s="1"/>
  <c r="K15" i="4"/>
  <c r="L15" i="4" s="1"/>
  <c r="K14" i="4"/>
  <c r="L14" i="4" s="1"/>
  <c r="K25" i="4"/>
  <c r="L25" i="4" s="1"/>
  <c r="K24" i="4"/>
  <c r="L24" i="4" s="1"/>
  <c r="K23" i="4"/>
  <c r="L23" i="4" s="1"/>
  <c r="K22" i="4"/>
  <c r="L22" i="4" s="1"/>
  <c r="K21" i="4"/>
  <c r="K32" i="4"/>
  <c r="L32" i="4" s="1"/>
  <c r="K31" i="4"/>
  <c r="L31" i="4" s="1"/>
  <c r="K30" i="4"/>
  <c r="L30" i="4" s="1"/>
  <c r="K29" i="4"/>
  <c r="L29" i="4" s="1"/>
  <c r="K28" i="4"/>
  <c r="L28" i="4" s="1"/>
  <c r="C46" i="8"/>
  <c r="T5" i="8" s="1"/>
  <c r="AC43" i="8"/>
  <c r="V43" i="8"/>
  <c r="L40" i="8"/>
  <c r="Z39" i="8"/>
  <c r="Y39" i="8"/>
  <c r="AD38" i="8"/>
  <c r="Z38" i="8"/>
  <c r="Y38" i="8"/>
  <c r="AD37" i="8"/>
  <c r="Z37" i="8"/>
  <c r="Y37" i="8"/>
  <c r="AD36" i="8"/>
  <c r="Z36" i="8"/>
  <c r="Y36" i="8"/>
  <c r="AD35" i="8"/>
  <c r="Z35" i="8"/>
  <c r="Y35" i="8"/>
  <c r="P35" i="8"/>
  <c r="AA35" i="8" s="1"/>
  <c r="AD32" i="8"/>
  <c r="K32" i="8"/>
  <c r="L32" i="8" s="1"/>
  <c r="AD31" i="8"/>
  <c r="Z31" i="8"/>
  <c r="K31" i="8"/>
  <c r="L31" i="8" s="1"/>
  <c r="AD30" i="8"/>
  <c r="Z30" i="8"/>
  <c r="K30" i="8"/>
  <c r="L30" i="8" s="1"/>
  <c r="P30" i="8" s="1"/>
  <c r="AD29" i="8"/>
  <c r="K29" i="8"/>
  <c r="L29" i="8" s="1"/>
  <c r="AD28" i="8"/>
  <c r="Z28" i="8"/>
  <c r="K28" i="8"/>
  <c r="AD25" i="8"/>
  <c r="AD24" i="8"/>
  <c r="AD23" i="8"/>
  <c r="Z23" i="8"/>
  <c r="AD22" i="8"/>
  <c r="AD21" i="8"/>
  <c r="Z21" i="8"/>
  <c r="AD18" i="8"/>
  <c r="AD17" i="8"/>
  <c r="Z17" i="8"/>
  <c r="AD16" i="8"/>
  <c r="Z16" i="8"/>
  <c r="P16" i="8"/>
  <c r="AD15" i="8"/>
  <c r="AD14" i="8"/>
  <c r="Z14" i="8"/>
  <c r="AD11" i="8"/>
  <c r="K11" i="8"/>
  <c r="L11" i="8" s="1"/>
  <c r="AD10" i="8"/>
  <c r="K10" i="8"/>
  <c r="L10" i="8" s="1"/>
  <c r="AD9" i="8"/>
  <c r="Z9" i="8"/>
  <c r="K9" i="8"/>
  <c r="L9" i="8" s="1"/>
  <c r="K8" i="8"/>
  <c r="L8" i="8" s="1"/>
  <c r="Z7" i="8"/>
  <c r="K7" i="8"/>
  <c r="K39" i="7"/>
  <c r="L39" i="7" s="1"/>
  <c r="P39" i="7" s="1"/>
  <c r="K38" i="7"/>
  <c r="L38" i="7" s="1"/>
  <c r="P38" i="7" s="1"/>
  <c r="Z38" i="7" s="1"/>
  <c r="K37" i="7"/>
  <c r="L37" i="7" s="1"/>
  <c r="P37" i="7" s="1"/>
  <c r="K36" i="7"/>
  <c r="L36" i="7" s="1"/>
  <c r="P36" i="7" s="1"/>
  <c r="K35" i="7"/>
  <c r="L35" i="7" s="1"/>
  <c r="P35" i="7" s="1"/>
  <c r="C46" i="7"/>
  <c r="T5" i="7" s="1"/>
  <c r="T7" i="7" s="1"/>
  <c r="T8" i="7" s="1"/>
  <c r="AC43" i="7"/>
  <c r="V43" i="7"/>
  <c r="AD38" i="7"/>
  <c r="AD37" i="7"/>
  <c r="Z37" i="7"/>
  <c r="AD36" i="7"/>
  <c r="AD35" i="7"/>
  <c r="Z35" i="7"/>
  <c r="AD32" i="7"/>
  <c r="K32" i="7"/>
  <c r="L32" i="7" s="1"/>
  <c r="AD31" i="7"/>
  <c r="K31" i="7"/>
  <c r="L31" i="7" s="1"/>
  <c r="AD30" i="7"/>
  <c r="Z30" i="7"/>
  <c r="K30" i="7"/>
  <c r="L30" i="7" s="1"/>
  <c r="AD29" i="7"/>
  <c r="K29" i="7"/>
  <c r="L29" i="7" s="1"/>
  <c r="AD28" i="7"/>
  <c r="Z28" i="7"/>
  <c r="K28" i="7"/>
  <c r="AD25" i="7"/>
  <c r="K25" i="7"/>
  <c r="L25" i="7" s="1"/>
  <c r="AD24" i="7"/>
  <c r="Z24" i="7"/>
  <c r="K24" i="7"/>
  <c r="L24" i="7" s="1"/>
  <c r="AD23" i="7"/>
  <c r="Z23" i="7"/>
  <c r="K23" i="7"/>
  <c r="L23" i="7" s="1"/>
  <c r="AD22" i="7"/>
  <c r="K22" i="7"/>
  <c r="L22" i="7" s="1"/>
  <c r="AD21" i="7"/>
  <c r="Z21" i="7"/>
  <c r="K21" i="7"/>
  <c r="AD18" i="7"/>
  <c r="K18" i="7"/>
  <c r="L18" i="7" s="1"/>
  <c r="AD17" i="7"/>
  <c r="K17" i="7"/>
  <c r="L17" i="7" s="1"/>
  <c r="AD16" i="7"/>
  <c r="Z16" i="7"/>
  <c r="K16" i="7"/>
  <c r="L16" i="7" s="1"/>
  <c r="AD15" i="7"/>
  <c r="Z15" i="7"/>
  <c r="K15" i="7"/>
  <c r="L15" i="7" s="1"/>
  <c r="AD14" i="7"/>
  <c r="Z14" i="7"/>
  <c r="K14" i="7"/>
  <c r="AD11" i="7"/>
  <c r="Z11" i="7"/>
  <c r="K11" i="7"/>
  <c r="L11" i="7" s="1"/>
  <c r="AD10" i="7"/>
  <c r="Z10" i="7"/>
  <c r="AD9" i="7"/>
  <c r="Z9" i="7"/>
  <c r="Z8" i="7"/>
  <c r="Z7" i="7"/>
  <c r="Y7" i="7"/>
  <c r="AB7" i="7" s="1"/>
  <c r="K36" i="5"/>
  <c r="L36" i="5" s="1"/>
  <c r="P36" i="5" s="1"/>
  <c r="K35" i="5"/>
  <c r="L25" i="2" l="1"/>
  <c r="L23" i="15"/>
  <c r="L28" i="10"/>
  <c r="P28" i="10" s="1"/>
  <c r="L23" i="10"/>
  <c r="P23" i="10" s="1"/>
  <c r="AA23" i="10" s="1"/>
  <c r="L16" i="2"/>
  <c r="P16" i="14"/>
  <c r="P15" i="14"/>
  <c r="L7" i="10"/>
  <c r="L9" i="10"/>
  <c r="P9" i="10" s="1"/>
  <c r="AA9" i="10" s="1"/>
  <c r="Y9" i="10" s="1"/>
  <c r="AB9" i="10" s="1"/>
  <c r="L21" i="10"/>
  <c r="P21" i="10" s="1"/>
  <c r="L16" i="10"/>
  <c r="L18" i="14"/>
  <c r="L17" i="14"/>
  <c r="AB7" i="15"/>
  <c r="P22" i="14"/>
  <c r="Z22" i="14" s="1"/>
  <c r="P32" i="14"/>
  <c r="Z32" i="14" s="1"/>
  <c r="P31" i="14"/>
  <c r="Z31" i="14" s="1"/>
  <c r="Z8" i="14"/>
  <c r="AB8" i="14" s="1"/>
  <c r="AB38" i="8"/>
  <c r="L29" i="10"/>
  <c r="P29" i="10" s="1"/>
  <c r="Z29" i="10" s="1"/>
  <c r="L18" i="2"/>
  <c r="L31" i="15"/>
  <c r="L28" i="2"/>
  <c r="L14" i="10"/>
  <c r="P14" i="10" s="1"/>
  <c r="AA14" i="10" s="1"/>
  <c r="Y14" i="10" s="1"/>
  <c r="L17" i="10"/>
  <c r="P17" i="10" s="1"/>
  <c r="L10" i="10"/>
  <c r="P10" i="10" s="1"/>
  <c r="Z10" i="10" s="1"/>
  <c r="L24" i="10"/>
  <c r="P24" i="10" s="1"/>
  <c r="Z24" i="10" s="1"/>
  <c r="AB37" i="8"/>
  <c r="AB36" i="8"/>
  <c r="L28" i="8"/>
  <c r="P28" i="8" s="1"/>
  <c r="P14" i="8"/>
  <c r="L7" i="8"/>
  <c r="T7" i="8" s="1"/>
  <c r="T8" i="8" s="1"/>
  <c r="T9" i="8" s="1"/>
  <c r="T10" i="8" s="1"/>
  <c r="T11" i="8" s="1"/>
  <c r="L21" i="7"/>
  <c r="P21" i="7" s="1"/>
  <c r="L28" i="7"/>
  <c r="L33" i="7" s="1"/>
  <c r="L21" i="4"/>
  <c r="AB37" i="14"/>
  <c r="L30" i="2"/>
  <c r="L31" i="2"/>
  <c r="L32" i="2"/>
  <c r="L14" i="2"/>
  <c r="L17" i="2"/>
  <c r="L24" i="15"/>
  <c r="P24" i="15" s="1"/>
  <c r="AA24" i="15" s="1"/>
  <c r="Y24" i="15" s="1"/>
  <c r="AB24" i="15" s="1"/>
  <c r="L35" i="15"/>
  <c r="P35" i="15" s="1"/>
  <c r="L28" i="15"/>
  <c r="P28" i="15" s="1"/>
  <c r="L29" i="15"/>
  <c r="P29" i="15" s="1"/>
  <c r="Z29" i="15" s="1"/>
  <c r="L22" i="15"/>
  <c r="P22" i="15" s="1"/>
  <c r="Z22" i="15" s="1"/>
  <c r="L10" i="15"/>
  <c r="P10" i="15" s="1"/>
  <c r="Z10" i="15" s="1"/>
  <c r="L29" i="2"/>
  <c r="L22" i="2"/>
  <c r="L23" i="2"/>
  <c r="L24" i="2"/>
  <c r="L21" i="2"/>
  <c r="L21" i="15"/>
  <c r="L17" i="15"/>
  <c r="AB35" i="14"/>
  <c r="L16" i="15"/>
  <c r="P16" i="15" s="1"/>
  <c r="T7" i="15"/>
  <c r="P8" i="15"/>
  <c r="L9" i="15"/>
  <c r="L14" i="15"/>
  <c r="L30" i="15"/>
  <c r="L15" i="15"/>
  <c r="P15" i="15" s="1"/>
  <c r="Z15" i="15" s="1"/>
  <c r="AB39" i="14"/>
  <c r="L33" i="14"/>
  <c r="AB38" i="14"/>
  <c r="T7" i="14"/>
  <c r="T8" i="14" s="1"/>
  <c r="T9" i="14" s="1"/>
  <c r="T10" i="14" s="1"/>
  <c r="T11" i="14" s="1"/>
  <c r="T14" i="14" s="1"/>
  <c r="T15" i="14" s="1"/>
  <c r="P25" i="15"/>
  <c r="P18" i="15"/>
  <c r="P23" i="15"/>
  <c r="AA7" i="15"/>
  <c r="P32" i="15"/>
  <c r="P11" i="15"/>
  <c r="Z11" i="15" s="1"/>
  <c r="Q7" i="15"/>
  <c r="P24" i="14"/>
  <c r="Z24" i="14" s="1"/>
  <c r="P30" i="14"/>
  <c r="L26" i="14"/>
  <c r="P11" i="14"/>
  <c r="Z11" i="14" s="1"/>
  <c r="P25" i="14"/>
  <c r="Z25" i="14" s="1"/>
  <c r="P10" i="14"/>
  <c r="Z10" i="14" s="1"/>
  <c r="P9" i="14"/>
  <c r="P23" i="14"/>
  <c r="Z15" i="14"/>
  <c r="P29" i="14"/>
  <c r="Z29" i="14" s="1"/>
  <c r="P21" i="14"/>
  <c r="L30" i="10"/>
  <c r="P30" i="10" s="1"/>
  <c r="L31" i="10"/>
  <c r="P31" i="10" s="1"/>
  <c r="AB39" i="10"/>
  <c r="AB38" i="10"/>
  <c r="L8" i="10"/>
  <c r="P8" i="10" s="1"/>
  <c r="Q7" i="10"/>
  <c r="T7" i="10"/>
  <c r="P25" i="10"/>
  <c r="AA11" i="10"/>
  <c r="Y11" i="10" s="1"/>
  <c r="AB11" i="10" s="1"/>
  <c r="P35" i="10"/>
  <c r="L40" i="10"/>
  <c r="P16" i="10"/>
  <c r="AA28" i="10"/>
  <c r="Y28" i="10" s="1"/>
  <c r="Z28" i="10"/>
  <c r="P15" i="10"/>
  <c r="Z15" i="10" s="1"/>
  <c r="Z32" i="10"/>
  <c r="AB32" i="10" s="1"/>
  <c r="P7" i="10"/>
  <c r="P22" i="10"/>
  <c r="Z22" i="10" s="1"/>
  <c r="Y23" i="10"/>
  <c r="AB23" i="10" s="1"/>
  <c r="Z18" i="10"/>
  <c r="AB18" i="10" s="1"/>
  <c r="Z14" i="10"/>
  <c r="AB39" i="8"/>
  <c r="AB35" i="8"/>
  <c r="P25" i="8"/>
  <c r="Z25" i="8" s="1"/>
  <c r="P15" i="8"/>
  <c r="Z15" i="8" s="1"/>
  <c r="P11" i="8"/>
  <c r="Z11" i="8" s="1"/>
  <c r="P10" i="8"/>
  <c r="Z10" i="8" s="1"/>
  <c r="AA30" i="8"/>
  <c r="Y30" i="8"/>
  <c r="AB30" i="8" s="1"/>
  <c r="P17" i="8"/>
  <c r="AA16" i="8"/>
  <c r="Y16" i="8" s="1"/>
  <c r="AB16" i="8" s="1"/>
  <c r="L26" i="8"/>
  <c r="P21" i="8"/>
  <c r="P31" i="8"/>
  <c r="P23" i="8"/>
  <c r="P24" i="8"/>
  <c r="Z24" i="8" s="1"/>
  <c r="P8" i="8"/>
  <c r="P9" i="8"/>
  <c r="P29" i="8"/>
  <c r="Z29" i="8" s="1"/>
  <c r="P18" i="8"/>
  <c r="Z18" i="8" s="1"/>
  <c r="P22" i="8"/>
  <c r="Z22" i="8" s="1"/>
  <c r="P32" i="8"/>
  <c r="Z32" i="8" s="1"/>
  <c r="AA35" i="7"/>
  <c r="Y35" i="7" s="1"/>
  <c r="AB35" i="7" s="1"/>
  <c r="L40" i="7"/>
  <c r="L14" i="7"/>
  <c r="L19" i="7" s="1"/>
  <c r="P10" i="7"/>
  <c r="P9" i="7"/>
  <c r="L26" i="7"/>
  <c r="P24" i="7"/>
  <c r="P29" i="7"/>
  <c r="Z29" i="7" s="1"/>
  <c r="P11" i="7"/>
  <c r="Q7" i="7"/>
  <c r="Q8" i="7" s="1"/>
  <c r="Q9" i="7" s="1"/>
  <c r="Q10" i="7" s="1"/>
  <c r="Q11" i="7" s="1"/>
  <c r="Q13" i="7" s="1"/>
  <c r="P7" i="7"/>
  <c r="L12" i="7"/>
  <c r="P15" i="7"/>
  <c r="P25" i="7"/>
  <c r="Z25" i="7" s="1"/>
  <c r="P31" i="7"/>
  <c r="Z31" i="7" s="1"/>
  <c r="P17" i="7"/>
  <c r="Z17" i="7" s="1"/>
  <c r="P8" i="7"/>
  <c r="Y8" i="7" s="1"/>
  <c r="AB8" i="7" s="1"/>
  <c r="T9" i="7"/>
  <c r="T10" i="7" s="1"/>
  <c r="T11" i="7" s="1"/>
  <c r="P23" i="7"/>
  <c r="P30" i="7"/>
  <c r="P16" i="7"/>
  <c r="P18" i="7"/>
  <c r="Z18" i="7" s="1"/>
  <c r="P22" i="7"/>
  <c r="Z22" i="7" s="1"/>
  <c r="P32" i="7"/>
  <c r="Z32" i="7" s="1"/>
  <c r="L35" i="5"/>
  <c r="L40" i="15" l="1"/>
  <c r="P17" i="15"/>
  <c r="Z17" i="15" s="1"/>
  <c r="P9" i="15"/>
  <c r="P12" i="15" s="1"/>
  <c r="P18" i="14"/>
  <c r="Z18" i="14" s="1"/>
  <c r="P17" i="14"/>
  <c r="AA17" i="14" s="1"/>
  <c r="Y17" i="14" s="1"/>
  <c r="L19" i="14"/>
  <c r="L19" i="10"/>
  <c r="P7" i="8"/>
  <c r="P28" i="7"/>
  <c r="AA28" i="7" s="1"/>
  <c r="Y28" i="7" s="1"/>
  <c r="AB28" i="7" s="1"/>
  <c r="P30" i="15"/>
  <c r="AA30" i="15" s="1"/>
  <c r="Y30" i="15" s="1"/>
  <c r="AB30" i="15" s="1"/>
  <c r="P31" i="15"/>
  <c r="Z31" i="15" s="1"/>
  <c r="L26" i="15"/>
  <c r="AA32" i="14"/>
  <c r="Y32" i="14" s="1"/>
  <c r="AB32" i="14" s="1"/>
  <c r="AA31" i="14"/>
  <c r="Y31" i="14" s="1"/>
  <c r="AB31" i="14" s="1"/>
  <c r="AA22" i="14"/>
  <c r="Y22" i="14" s="1"/>
  <c r="AB22" i="14" s="1"/>
  <c r="AA10" i="10"/>
  <c r="Y10" i="10" s="1"/>
  <c r="AB10" i="10" s="1"/>
  <c r="Y8" i="10"/>
  <c r="Z8" i="10"/>
  <c r="Y8" i="8"/>
  <c r="Z8" i="8"/>
  <c r="Z42" i="8" s="1"/>
  <c r="L33" i="8"/>
  <c r="Q7" i="8"/>
  <c r="Q8" i="8" s="1"/>
  <c r="Q9" i="8" s="1"/>
  <c r="Q10" i="8" s="1"/>
  <c r="Q11" i="8" s="1"/>
  <c r="Q13" i="8" s="1"/>
  <c r="Q14" i="8" s="1"/>
  <c r="Q15" i="8" s="1"/>
  <c r="Q16" i="8" s="1"/>
  <c r="Q17" i="8" s="1"/>
  <c r="Q18" i="8" s="1"/>
  <c r="Q20" i="8" s="1"/>
  <c r="Q21" i="8" s="1"/>
  <c r="Q22" i="8" s="1"/>
  <c r="Q23" i="8" s="1"/>
  <c r="Q24" i="8" s="1"/>
  <c r="Q25" i="8" s="1"/>
  <c r="Q27" i="8" s="1"/>
  <c r="Q28" i="8" s="1"/>
  <c r="Q29" i="8" s="1"/>
  <c r="Q30" i="8" s="1"/>
  <c r="Q31" i="8" s="1"/>
  <c r="Q32" i="8" s="1"/>
  <c r="Q34" i="8" s="1"/>
  <c r="Q35" i="8" s="1"/>
  <c r="Q36" i="8" s="1"/>
  <c r="L26" i="10"/>
  <c r="AA24" i="10"/>
  <c r="Y24" i="10" s="1"/>
  <c r="AB24" i="10" s="1"/>
  <c r="L19" i="8"/>
  <c r="T14" i="8"/>
  <c r="T15" i="8" s="1"/>
  <c r="T16" i="8" s="1"/>
  <c r="T17" i="8" s="1"/>
  <c r="T18" i="8" s="1"/>
  <c r="T21" i="8" s="1"/>
  <c r="T22" i="8" s="1"/>
  <c r="T23" i="8" s="1"/>
  <c r="T24" i="8" s="1"/>
  <c r="T25" i="8" s="1"/>
  <c r="T28" i="8" s="1"/>
  <c r="T29" i="8" s="1"/>
  <c r="T30" i="8" s="1"/>
  <c r="T31" i="8" s="1"/>
  <c r="T32" i="8" s="1"/>
  <c r="T35" i="8" s="1"/>
  <c r="T36" i="8" s="1"/>
  <c r="T37" i="8" s="1"/>
  <c r="T38" i="8" s="1"/>
  <c r="T39" i="8" s="1"/>
  <c r="Y8" i="15"/>
  <c r="Z8" i="15"/>
  <c r="T8" i="10"/>
  <c r="T9" i="10" s="1"/>
  <c r="T10" i="10" s="1"/>
  <c r="T11" i="10" s="1"/>
  <c r="T14" i="10" s="1"/>
  <c r="T15" i="10" s="1"/>
  <c r="T16" i="10" s="1"/>
  <c r="T17" i="10" s="1"/>
  <c r="T18" i="10" s="1"/>
  <c r="T21" i="10" s="1"/>
  <c r="T22" i="10" s="1"/>
  <c r="T23" i="10" s="1"/>
  <c r="T24" i="10" s="1"/>
  <c r="T25" i="10" s="1"/>
  <c r="T28" i="10" s="1"/>
  <c r="T29" i="10" s="1"/>
  <c r="T30" i="10" s="1"/>
  <c r="T31" i="10" s="1"/>
  <c r="T32" i="10" s="1"/>
  <c r="T35" i="10" s="1"/>
  <c r="T36" i="10" s="1"/>
  <c r="T37" i="10" s="1"/>
  <c r="T38" i="10" s="1"/>
  <c r="T39" i="10" s="1"/>
  <c r="L12" i="10"/>
  <c r="L12" i="8"/>
  <c r="P21" i="15"/>
  <c r="AA21" i="15" s="1"/>
  <c r="Q8" i="15"/>
  <c r="Q9" i="15" s="1"/>
  <c r="Q10" i="15" s="1"/>
  <c r="Q11" i="15" s="1"/>
  <c r="Q13" i="15" s="1"/>
  <c r="Q14" i="15" s="1"/>
  <c r="Q15" i="15" s="1"/>
  <c r="Q16" i="15" s="1"/>
  <c r="Q17" i="15" s="1"/>
  <c r="Q18" i="15" s="1"/>
  <c r="Q20" i="15" s="1"/>
  <c r="Q21" i="15" s="1"/>
  <c r="Q22" i="15" s="1"/>
  <c r="Q23" i="15" s="1"/>
  <c r="Q24" i="15" s="1"/>
  <c r="Q25" i="15" s="1"/>
  <c r="Q27" i="15" s="1"/>
  <c r="Q28" i="15" s="1"/>
  <c r="Q29" i="15" s="1"/>
  <c r="Q30" i="15" s="1"/>
  <c r="Q31" i="15" s="1"/>
  <c r="Q32" i="15" s="1"/>
  <c r="Q34" i="15" s="1"/>
  <c r="Q35" i="15" s="1"/>
  <c r="Q36" i="15" s="1"/>
  <c r="L33" i="15"/>
  <c r="L19" i="15"/>
  <c r="P14" i="15"/>
  <c r="T8" i="15"/>
  <c r="T9" i="15" s="1"/>
  <c r="T10" i="15" s="1"/>
  <c r="T11" i="15" s="1"/>
  <c r="T14" i="15" s="1"/>
  <c r="T15" i="15" s="1"/>
  <c r="T16" i="15" s="1"/>
  <c r="T17" i="15" s="1"/>
  <c r="T18" i="15" s="1"/>
  <c r="T21" i="15" s="1"/>
  <c r="T22" i="15" s="1"/>
  <c r="T23" i="15" s="1"/>
  <c r="T24" i="15" s="1"/>
  <c r="T25" i="15" s="1"/>
  <c r="T28" i="15" s="1"/>
  <c r="T29" i="15" s="1"/>
  <c r="T30" i="15" s="1"/>
  <c r="T31" i="15" s="1"/>
  <c r="T32" i="15" s="1"/>
  <c r="T35" i="15" s="1"/>
  <c r="T36" i="15" s="1"/>
  <c r="T37" i="15" s="1"/>
  <c r="T38" i="15" s="1"/>
  <c r="T39" i="15" s="1"/>
  <c r="L12" i="15"/>
  <c r="P28" i="14"/>
  <c r="P7" i="14"/>
  <c r="AA14" i="14"/>
  <c r="Y14" i="14" s="1"/>
  <c r="AB14" i="14" s="1"/>
  <c r="Q7" i="14"/>
  <c r="Q8" i="14" s="1"/>
  <c r="Q9" i="14" s="1"/>
  <c r="Q10" i="14" s="1"/>
  <c r="Q11" i="14" s="1"/>
  <c r="Q13" i="14" s="1"/>
  <c r="Q14" i="14" s="1"/>
  <c r="Q15" i="14" s="1"/>
  <c r="Q16" i="14" s="1"/>
  <c r="Q17" i="14" s="1"/>
  <c r="Q18" i="14" s="1"/>
  <c r="Q20" i="14" s="1"/>
  <c r="Q21" i="14" s="1"/>
  <c r="Q22" i="14" s="1"/>
  <c r="Q23" i="14" s="1"/>
  <c r="Q24" i="14" s="1"/>
  <c r="Q25" i="14" s="1"/>
  <c r="Q27" i="14" s="1"/>
  <c r="Q28" i="14" s="1"/>
  <c r="Q29" i="14" s="1"/>
  <c r="Q30" i="14" s="1"/>
  <c r="Q31" i="14" s="1"/>
  <c r="Q32" i="14" s="1"/>
  <c r="Q34" i="14" s="1"/>
  <c r="Q35" i="14" s="1"/>
  <c r="Z36" i="14" s="1"/>
  <c r="AB36" i="14" s="1"/>
  <c r="L12" i="14"/>
  <c r="L43" i="14" s="1"/>
  <c r="C47" i="14" s="1"/>
  <c r="C8" i="21" s="1"/>
  <c r="AA10" i="15"/>
  <c r="Y10" i="15" s="1"/>
  <c r="AB10" i="15" s="1"/>
  <c r="AA23" i="15"/>
  <c r="Y23" i="15" s="1"/>
  <c r="AB23" i="15" s="1"/>
  <c r="Z32" i="15"/>
  <c r="AA32" i="15"/>
  <c r="Y32" i="15" s="1"/>
  <c r="AA35" i="15"/>
  <c r="Y35" i="15" s="1"/>
  <c r="Z35" i="15"/>
  <c r="AA29" i="15"/>
  <c r="Y29" i="15" s="1"/>
  <c r="AB29" i="15" s="1"/>
  <c r="AA16" i="15"/>
  <c r="Y16" i="15" s="1"/>
  <c r="AB16" i="15" s="1"/>
  <c r="AA22" i="15"/>
  <c r="Y22" i="15" s="1"/>
  <c r="AB22" i="15" s="1"/>
  <c r="AA15" i="15"/>
  <c r="Y15" i="15" s="1"/>
  <c r="AB15" i="15" s="1"/>
  <c r="AA18" i="15"/>
  <c r="Z18" i="15"/>
  <c r="AB18" i="15" s="1"/>
  <c r="AA28" i="15"/>
  <c r="Y28" i="15" s="1"/>
  <c r="Z28" i="15"/>
  <c r="AA11" i="15"/>
  <c r="Y11" i="15"/>
  <c r="AB11" i="15" s="1"/>
  <c r="AA17" i="15"/>
  <c r="Y17" i="15" s="1"/>
  <c r="AB17" i="15" s="1"/>
  <c r="AA25" i="15"/>
  <c r="Z25" i="15"/>
  <c r="AB25" i="15" s="1"/>
  <c r="AA30" i="14"/>
  <c r="Y30" i="14" s="1"/>
  <c r="AB30" i="14" s="1"/>
  <c r="AA29" i="14"/>
  <c r="Y29" i="14" s="1"/>
  <c r="AB29" i="14" s="1"/>
  <c r="AA16" i="14"/>
  <c r="Y16" i="14" s="1"/>
  <c r="AB16" i="14" s="1"/>
  <c r="AA15" i="14"/>
  <c r="Y15" i="14" s="1"/>
  <c r="AB15" i="14" s="1"/>
  <c r="AA10" i="14"/>
  <c r="Y10" i="14" s="1"/>
  <c r="AB10" i="14" s="1"/>
  <c r="AA9" i="14"/>
  <c r="Y9" i="14" s="1"/>
  <c r="AA25" i="14"/>
  <c r="Y25" i="14" s="1"/>
  <c r="AB25" i="14" s="1"/>
  <c r="AA21" i="14"/>
  <c r="Y21" i="14" s="1"/>
  <c r="AB21" i="14" s="1"/>
  <c r="P26" i="14"/>
  <c r="AA24" i="14"/>
  <c r="Y24" i="14" s="1"/>
  <c r="AB24" i="14" s="1"/>
  <c r="AA23" i="14"/>
  <c r="Y23" i="14" s="1"/>
  <c r="AB23" i="14" s="1"/>
  <c r="AA11" i="14"/>
  <c r="Y11" i="14" s="1"/>
  <c r="AB11" i="14" s="1"/>
  <c r="T16" i="14"/>
  <c r="T17" i="14" s="1"/>
  <c r="T18" i="14" s="1"/>
  <c r="T21" i="14" s="1"/>
  <c r="T22" i="14" s="1"/>
  <c r="T23" i="14" s="1"/>
  <c r="T24" i="14" s="1"/>
  <c r="T25" i="14" s="1"/>
  <c r="T28" i="14" s="1"/>
  <c r="T29" i="14" s="1"/>
  <c r="T30" i="14" s="1"/>
  <c r="T31" i="14" s="1"/>
  <c r="T32" i="14" s="1"/>
  <c r="T35" i="14" s="1"/>
  <c r="T36" i="14" s="1"/>
  <c r="T37" i="14" s="1"/>
  <c r="T38" i="14" s="1"/>
  <c r="T39" i="14" s="1"/>
  <c r="L33" i="10"/>
  <c r="AB28" i="10"/>
  <c r="Q8" i="10"/>
  <c r="Q9" i="10" s="1"/>
  <c r="Q10" i="10" s="1"/>
  <c r="Q11" i="10" s="1"/>
  <c r="Q13" i="10" s="1"/>
  <c r="Q14" i="10" s="1"/>
  <c r="Q15" i="10" s="1"/>
  <c r="Q16" i="10" s="1"/>
  <c r="Q17" i="10" s="1"/>
  <c r="Q18" i="10" s="1"/>
  <c r="Q20" i="10" s="1"/>
  <c r="Q21" i="10" s="1"/>
  <c r="Q22" i="10" s="1"/>
  <c r="Q23" i="10" s="1"/>
  <c r="Q24" i="10" s="1"/>
  <c r="Q25" i="10" s="1"/>
  <c r="Q27" i="10" s="1"/>
  <c r="Q28" i="10" s="1"/>
  <c r="Q29" i="10" s="1"/>
  <c r="Q30" i="10" s="1"/>
  <c r="Q31" i="10" s="1"/>
  <c r="Q32" i="10" s="1"/>
  <c r="Q34" i="10" s="1"/>
  <c r="Q35" i="10" s="1"/>
  <c r="Q36" i="10" s="1"/>
  <c r="AB14" i="10"/>
  <c r="AA16" i="10"/>
  <c r="Y16" i="10" s="1"/>
  <c r="AB16" i="10" s="1"/>
  <c r="AA29" i="10"/>
  <c r="Y29" i="10" s="1"/>
  <c r="AB29" i="10" s="1"/>
  <c r="AA35" i="10"/>
  <c r="Y35" i="10" s="1"/>
  <c r="Z35" i="10"/>
  <c r="AA31" i="10"/>
  <c r="Y31" i="10" s="1"/>
  <c r="AB31" i="10" s="1"/>
  <c r="AA15" i="10"/>
  <c r="Y15" i="10" s="1"/>
  <c r="AA17" i="10"/>
  <c r="Y17" i="10" s="1"/>
  <c r="AB17" i="10" s="1"/>
  <c r="AA21" i="10"/>
  <c r="Y21" i="10" s="1"/>
  <c r="P26" i="10"/>
  <c r="Z21" i="10"/>
  <c r="P33" i="10"/>
  <c r="P19" i="10"/>
  <c r="AA30" i="10"/>
  <c r="Y30" i="10" s="1"/>
  <c r="AB30" i="10" s="1"/>
  <c r="AA22" i="10"/>
  <c r="Y22" i="10" s="1"/>
  <c r="AB22" i="10" s="1"/>
  <c r="AA7" i="10"/>
  <c r="Y7" i="10" s="1"/>
  <c r="AB7" i="10" s="1"/>
  <c r="P12" i="10"/>
  <c r="AA25" i="10"/>
  <c r="Y25" i="10" s="1"/>
  <c r="Z25" i="10"/>
  <c r="AA31" i="8"/>
  <c r="Y31" i="8" s="1"/>
  <c r="AB31" i="8" s="1"/>
  <c r="AA23" i="8"/>
  <c r="Y23" i="8" s="1"/>
  <c r="AB23" i="8" s="1"/>
  <c r="AA10" i="8"/>
  <c r="Y10" i="8" s="1"/>
  <c r="AB10" i="8" s="1"/>
  <c r="AA28" i="8"/>
  <c r="Y28" i="8" s="1"/>
  <c r="AB28" i="8" s="1"/>
  <c r="P33" i="8"/>
  <c r="P26" i="8"/>
  <c r="AA21" i="8"/>
  <c r="Y21" i="8" s="1"/>
  <c r="AB21" i="8" s="1"/>
  <c r="AA11" i="8"/>
  <c r="Y11" i="8" s="1"/>
  <c r="AB11" i="8" s="1"/>
  <c r="AA7" i="8"/>
  <c r="Y7" i="8" s="1"/>
  <c r="AB7" i="8" s="1"/>
  <c r="P12" i="8"/>
  <c r="AA15" i="8"/>
  <c r="Y15" i="8" s="1"/>
  <c r="AB15" i="8" s="1"/>
  <c r="AA29" i="8"/>
  <c r="Y29" i="8" s="1"/>
  <c r="AB29" i="8" s="1"/>
  <c r="AA9" i="8"/>
  <c r="Y9" i="8" s="1"/>
  <c r="AA32" i="8"/>
  <c r="Y32" i="8" s="1"/>
  <c r="AB32" i="8" s="1"/>
  <c r="AA22" i="8"/>
  <c r="Y22" i="8" s="1"/>
  <c r="AB22" i="8" s="1"/>
  <c r="AA24" i="8"/>
  <c r="Y24" i="8" s="1"/>
  <c r="AB24" i="8" s="1"/>
  <c r="AA14" i="8"/>
  <c r="Y14" i="8" s="1"/>
  <c r="AB14" i="8" s="1"/>
  <c r="P19" i="8"/>
  <c r="AA25" i="8"/>
  <c r="Y25" i="8" s="1"/>
  <c r="AB25" i="8" s="1"/>
  <c r="AA18" i="8"/>
  <c r="Y18" i="8" s="1"/>
  <c r="AB18" i="8" s="1"/>
  <c r="AA17" i="8"/>
  <c r="Y17" i="8" s="1"/>
  <c r="AB17" i="8" s="1"/>
  <c r="P14" i="7"/>
  <c r="AA14" i="7" s="1"/>
  <c r="Y14" i="7" s="1"/>
  <c r="AB14" i="7" s="1"/>
  <c r="T14" i="7"/>
  <c r="T15" i="7" s="1"/>
  <c r="T16" i="7" s="1"/>
  <c r="T17" i="7" s="1"/>
  <c r="T18" i="7" s="1"/>
  <c r="T21" i="7" s="1"/>
  <c r="T22" i="7" s="1"/>
  <c r="T23" i="7" s="1"/>
  <c r="T24" i="7" s="1"/>
  <c r="T25" i="7" s="1"/>
  <c r="T28" i="7" s="1"/>
  <c r="T29" i="7" s="1"/>
  <c r="T30" i="7" s="1"/>
  <c r="T31" i="7" s="1"/>
  <c r="T32" i="7" s="1"/>
  <c r="T35" i="7" s="1"/>
  <c r="T36" i="7" s="1"/>
  <c r="T37" i="7" s="1"/>
  <c r="T38" i="7" s="1"/>
  <c r="T39" i="7" s="1"/>
  <c r="Q14" i="7"/>
  <c r="Q15" i="7" s="1"/>
  <c r="Q16" i="7" s="1"/>
  <c r="Q17" i="7" s="1"/>
  <c r="Q18" i="7" s="1"/>
  <c r="Q20" i="7" s="1"/>
  <c r="Q21" i="7" s="1"/>
  <c r="Q22" i="7" s="1"/>
  <c r="Q23" i="7" s="1"/>
  <c r="Q24" i="7" s="1"/>
  <c r="Q25" i="7" s="1"/>
  <c r="Q27" i="7" s="1"/>
  <c r="Q28" i="7" s="1"/>
  <c r="Q29" i="7" s="1"/>
  <c r="Q30" i="7" s="1"/>
  <c r="Q31" i="7" s="1"/>
  <c r="Q32" i="7" s="1"/>
  <c r="Q34" i="7" s="1"/>
  <c r="Q35" i="7" s="1"/>
  <c r="Q36" i="7" s="1"/>
  <c r="AA24" i="7"/>
  <c r="Y24" i="7" s="1"/>
  <c r="AB24" i="7" s="1"/>
  <c r="AA30" i="7"/>
  <c r="Y30" i="7" s="1"/>
  <c r="AB30" i="7" s="1"/>
  <c r="AA21" i="7"/>
  <c r="Y21" i="7" s="1"/>
  <c r="AB21" i="7" s="1"/>
  <c r="P26" i="7"/>
  <c r="P33" i="7"/>
  <c r="AA7" i="7"/>
  <c r="P12" i="7"/>
  <c r="AA22" i="7"/>
  <c r="Y22" i="7" s="1"/>
  <c r="AB22" i="7" s="1"/>
  <c r="AA9" i="7"/>
  <c r="Y9" i="7" s="1"/>
  <c r="L43" i="7"/>
  <c r="C47" i="7" s="1"/>
  <c r="J8" i="21" s="1"/>
  <c r="J9" i="21" s="1"/>
  <c r="AA25" i="7"/>
  <c r="Y25" i="7" s="1"/>
  <c r="AB25" i="7" s="1"/>
  <c r="AA31" i="7"/>
  <c r="Y31" i="7" s="1"/>
  <c r="AB31" i="7" s="1"/>
  <c r="AA10" i="7"/>
  <c r="Y10" i="7" s="1"/>
  <c r="AB10" i="7" s="1"/>
  <c r="AA18" i="7"/>
  <c r="Y18" i="7" s="1"/>
  <c r="AB18" i="7" s="1"/>
  <c r="AA17" i="7"/>
  <c r="Y17" i="7" s="1"/>
  <c r="AB17" i="7" s="1"/>
  <c r="AA11" i="7"/>
  <c r="Y11" i="7" s="1"/>
  <c r="AB11" i="7" s="1"/>
  <c r="AA16" i="7"/>
  <c r="Y16" i="7" s="1"/>
  <c r="AB16" i="7" s="1"/>
  <c r="AA23" i="7"/>
  <c r="Y23" i="7" s="1"/>
  <c r="AB23" i="7" s="1"/>
  <c r="AA32" i="7"/>
  <c r="Y32" i="7" s="1"/>
  <c r="AB32" i="7" s="1"/>
  <c r="AA15" i="7"/>
  <c r="Y15" i="7" s="1"/>
  <c r="AB15" i="7" s="1"/>
  <c r="AA29" i="7"/>
  <c r="Y29" i="7" s="1"/>
  <c r="AB29" i="7" s="1"/>
  <c r="AA9" i="15" l="1"/>
  <c r="Y9" i="15" s="1"/>
  <c r="AB8" i="8"/>
  <c r="AA18" i="14"/>
  <c r="Y18" i="14" s="1"/>
  <c r="AB18" i="14" s="1"/>
  <c r="Z17" i="14"/>
  <c r="AB17" i="14"/>
  <c r="AA31" i="15"/>
  <c r="Y31" i="15" s="1"/>
  <c r="AB31" i="15" s="1"/>
  <c r="L43" i="8"/>
  <c r="C47" i="8" s="1"/>
  <c r="K8" i="21" s="1"/>
  <c r="K9" i="21" s="1"/>
  <c r="P19" i="7"/>
  <c r="P33" i="15"/>
  <c r="Z21" i="15"/>
  <c r="P26" i="15"/>
  <c r="AB8" i="15"/>
  <c r="C9" i="21"/>
  <c r="AB8" i="10"/>
  <c r="L43" i="10"/>
  <c r="C47" i="10" s="1"/>
  <c r="P36" i="8"/>
  <c r="AA36" i="8" s="1"/>
  <c r="P12" i="14"/>
  <c r="P33" i="14"/>
  <c r="Z28" i="14"/>
  <c r="Z42" i="14" s="1"/>
  <c r="Z44" i="14" s="1"/>
  <c r="AB28" i="15"/>
  <c r="Y21" i="15"/>
  <c r="AB35" i="15"/>
  <c r="AB32" i="15"/>
  <c r="P19" i="15"/>
  <c r="AB21" i="10"/>
  <c r="L43" i="15"/>
  <c r="C47" i="15" s="1"/>
  <c r="D8" i="21" s="1"/>
  <c r="D9" i="21" s="1"/>
  <c r="AA14" i="15"/>
  <c r="Y14" i="15" s="1"/>
  <c r="Z14" i="15"/>
  <c r="Q36" i="14"/>
  <c r="Q37" i="14" s="1"/>
  <c r="AA28" i="14"/>
  <c r="Y28" i="14" s="1"/>
  <c r="P19" i="14"/>
  <c r="AA7" i="14"/>
  <c r="Y7" i="14" s="1"/>
  <c r="AB7" i="14" s="1"/>
  <c r="AB9" i="15"/>
  <c r="Q37" i="15"/>
  <c r="AB9" i="14"/>
  <c r="C49" i="14"/>
  <c r="C48" i="14"/>
  <c r="AA36" i="14"/>
  <c r="AB35" i="10"/>
  <c r="AB25" i="10"/>
  <c r="AB15" i="10"/>
  <c r="Q37" i="10"/>
  <c r="AB9" i="8"/>
  <c r="AB42" i="8" s="1"/>
  <c r="Y42" i="8"/>
  <c r="Y44" i="8" s="1"/>
  <c r="Q37" i="8"/>
  <c r="P37" i="8"/>
  <c r="AA37" i="8" s="1"/>
  <c r="F52" i="8"/>
  <c r="F51" i="8"/>
  <c r="AB9" i="7"/>
  <c r="C49" i="7"/>
  <c r="C48" i="7"/>
  <c r="AA37" i="7"/>
  <c r="Y37" i="7" s="1"/>
  <c r="AB37" i="7" s="1"/>
  <c r="Q37" i="7"/>
  <c r="Z44" i="8" l="1"/>
  <c r="C48" i="8"/>
  <c r="C49" i="8"/>
  <c r="AB21" i="15"/>
  <c r="AA37" i="10"/>
  <c r="Y37" i="10" s="1"/>
  <c r="AB28" i="14"/>
  <c r="C48" i="10"/>
  <c r="F51" i="10" s="1"/>
  <c r="L8" i="21"/>
  <c r="L9" i="21" s="1"/>
  <c r="AA36" i="10"/>
  <c r="Z36" i="10"/>
  <c r="C49" i="10"/>
  <c r="C48" i="15"/>
  <c r="C49" i="15"/>
  <c r="AA36" i="15"/>
  <c r="Z36" i="15"/>
  <c r="AB36" i="15" s="1"/>
  <c r="AA37" i="15"/>
  <c r="Y37" i="15" s="1"/>
  <c r="AB37" i="15" s="1"/>
  <c r="AA36" i="7"/>
  <c r="Y36" i="7" s="1"/>
  <c r="Z36" i="7"/>
  <c r="AB14" i="15"/>
  <c r="Y42" i="14"/>
  <c r="Y44" i="14" s="1"/>
  <c r="AB42" i="14"/>
  <c r="P37" i="14"/>
  <c r="AA37" i="14" s="1"/>
  <c r="Q38" i="15"/>
  <c r="Z39" i="15" s="1"/>
  <c r="AB39" i="15" s="1"/>
  <c r="F52" i="15"/>
  <c r="F51" i="15"/>
  <c r="Q38" i="14"/>
  <c r="P38" i="14"/>
  <c r="AA38" i="14" s="1"/>
  <c r="F52" i="14"/>
  <c r="F51" i="14"/>
  <c r="F52" i="10"/>
  <c r="Q38" i="10"/>
  <c r="P38" i="10"/>
  <c r="AA38" i="10" s="1"/>
  <c r="Q38" i="8"/>
  <c r="P38" i="8"/>
  <c r="AA38" i="8" s="1"/>
  <c r="Q38" i="7"/>
  <c r="AA38" i="7"/>
  <c r="Y38" i="7" s="1"/>
  <c r="AB38" i="7" s="1"/>
  <c r="F52" i="7"/>
  <c r="F51" i="7"/>
  <c r="AB37" i="10" l="1"/>
  <c r="Y42" i="10"/>
  <c r="Y44" i="10" s="1"/>
  <c r="AB36" i="10"/>
  <c r="Z42" i="10"/>
  <c r="Z44" i="10" s="1"/>
  <c r="AA38" i="15"/>
  <c r="Y38" i="15" s="1"/>
  <c r="Y42" i="15" s="1"/>
  <c r="Y44" i="15" s="1"/>
  <c r="Z38" i="15"/>
  <c r="AB36" i="7"/>
  <c r="Q39" i="15"/>
  <c r="AA39" i="15"/>
  <c r="Q39" i="14"/>
  <c r="P39" i="14"/>
  <c r="AA39" i="14" s="1"/>
  <c r="AA42" i="14" s="1"/>
  <c r="AA44" i="14" s="1"/>
  <c r="AB44" i="14" s="1"/>
  <c r="Q39" i="10"/>
  <c r="P39" i="10"/>
  <c r="AA39" i="10" s="1"/>
  <c r="AA42" i="10" s="1"/>
  <c r="AA44" i="10" s="1"/>
  <c r="Q39" i="8"/>
  <c r="P39" i="8"/>
  <c r="AA39" i="8" s="1"/>
  <c r="AA42" i="8" s="1"/>
  <c r="AA44" i="8" s="1"/>
  <c r="AB44" i="8" s="1"/>
  <c r="Q39" i="7"/>
  <c r="AA42" i="15" l="1"/>
  <c r="AA44" i="15" s="1"/>
  <c r="AB44" i="10"/>
  <c r="AB42" i="10"/>
  <c r="AB38" i="15"/>
  <c r="AB42" i="15" s="1"/>
  <c r="Z42" i="15"/>
  <c r="Z44" i="15" s="1"/>
  <c r="AA39" i="7"/>
  <c r="AA42" i="7" s="1"/>
  <c r="AA44" i="7" s="1"/>
  <c r="Z39" i="7"/>
  <c r="Z42" i="7" s="1"/>
  <c r="Z44" i="7" s="1"/>
  <c r="P40" i="15"/>
  <c r="P43" i="15" s="1"/>
  <c r="P40" i="14"/>
  <c r="P43" i="14" s="1"/>
  <c r="P40" i="10"/>
  <c r="P43" i="10" s="1"/>
  <c r="Y39" i="7"/>
  <c r="P40" i="8"/>
  <c r="P43" i="8" s="1"/>
  <c r="P40" i="7"/>
  <c r="P43" i="7" s="1"/>
  <c r="AB44" i="15" l="1"/>
  <c r="AB39" i="7"/>
  <c r="AB42" i="7" s="1"/>
  <c r="Y42" i="7"/>
  <c r="Y44" i="7" s="1"/>
  <c r="AB44" i="7" s="1"/>
  <c r="C46" i="5" l="1"/>
  <c r="T5" i="5" s="1"/>
  <c r="AC43" i="5"/>
  <c r="V43" i="5"/>
  <c r="L40" i="5"/>
  <c r="Z39" i="5"/>
  <c r="Y39" i="5"/>
  <c r="AD38" i="5"/>
  <c r="Y38" i="5"/>
  <c r="AD37" i="5"/>
  <c r="Z37" i="5"/>
  <c r="AD36" i="5"/>
  <c r="AD35" i="5"/>
  <c r="P35" i="5"/>
  <c r="Z35" i="5" s="1"/>
  <c r="AD32" i="5"/>
  <c r="Z32" i="5"/>
  <c r="AD31" i="5"/>
  <c r="AD30" i="5"/>
  <c r="Z30" i="5"/>
  <c r="K30" i="5"/>
  <c r="L30" i="5" s="1"/>
  <c r="AD29" i="5"/>
  <c r="K29" i="5"/>
  <c r="L29" i="5" s="1"/>
  <c r="AD28" i="5"/>
  <c r="K28" i="5"/>
  <c r="L28" i="5" s="1"/>
  <c r="AD25" i="5"/>
  <c r="K25" i="5"/>
  <c r="L25" i="5" s="1"/>
  <c r="AD24" i="5"/>
  <c r="K24" i="5"/>
  <c r="L24" i="5" s="1"/>
  <c r="AD23" i="5"/>
  <c r="Z23" i="5"/>
  <c r="K23" i="5"/>
  <c r="L23" i="5" s="1"/>
  <c r="AD22" i="5"/>
  <c r="K22" i="5"/>
  <c r="L22" i="5" s="1"/>
  <c r="AD21" i="5"/>
  <c r="K21" i="5"/>
  <c r="L21" i="5" s="1"/>
  <c r="AD18" i="5"/>
  <c r="K18" i="5"/>
  <c r="L18" i="5" s="1"/>
  <c r="AD17" i="5"/>
  <c r="K17" i="5"/>
  <c r="L17" i="5" s="1"/>
  <c r="AD16" i="5"/>
  <c r="Z16" i="5"/>
  <c r="K16" i="5"/>
  <c r="L16" i="5" s="1"/>
  <c r="AD15" i="5"/>
  <c r="AD14" i="5"/>
  <c r="AD11" i="5"/>
  <c r="K11" i="5"/>
  <c r="L11" i="5" s="1"/>
  <c r="AD10" i="5"/>
  <c r="K10" i="5"/>
  <c r="L10" i="5" s="1"/>
  <c r="AD9" i="5"/>
  <c r="Z9" i="5"/>
  <c r="K9" i="5"/>
  <c r="L9" i="5" s="1"/>
  <c r="K8" i="5"/>
  <c r="L8" i="5" s="1"/>
  <c r="C46" i="4"/>
  <c r="T5" i="4" s="1"/>
  <c r="T7" i="4" s="1"/>
  <c r="AC43" i="4"/>
  <c r="V43" i="4"/>
  <c r="L40" i="4"/>
  <c r="Z39" i="4"/>
  <c r="AD38" i="4"/>
  <c r="AD37" i="4"/>
  <c r="Z37" i="4"/>
  <c r="AD36" i="4"/>
  <c r="Z36" i="4"/>
  <c r="AD35" i="4"/>
  <c r="P35" i="4"/>
  <c r="AA35" i="4" s="1"/>
  <c r="Y35" i="4" s="1"/>
  <c r="AD32" i="4"/>
  <c r="AD31" i="4"/>
  <c r="AD30" i="4"/>
  <c r="Z30" i="4"/>
  <c r="AD29" i="4"/>
  <c r="AD28" i="4"/>
  <c r="AD25" i="4"/>
  <c r="AD24" i="4"/>
  <c r="AD23" i="4"/>
  <c r="Z23" i="4"/>
  <c r="AD22" i="4"/>
  <c r="AD21" i="4"/>
  <c r="AD18" i="4"/>
  <c r="AD17" i="4"/>
  <c r="AD16" i="4"/>
  <c r="Z16" i="4"/>
  <c r="AD15" i="4"/>
  <c r="AD14" i="4"/>
  <c r="AD11" i="4"/>
  <c r="AD10" i="4"/>
  <c r="AD9" i="4"/>
  <c r="Z9" i="4"/>
  <c r="Q7" i="4"/>
  <c r="AB39" i="5" l="1"/>
  <c r="P23" i="5"/>
  <c r="P7" i="5"/>
  <c r="T7" i="5"/>
  <c r="T8" i="5" s="1"/>
  <c r="T9" i="5" s="1"/>
  <c r="T10" i="5" s="1"/>
  <c r="T11" i="5" s="1"/>
  <c r="T14" i="5" s="1"/>
  <c r="T15" i="5" s="1"/>
  <c r="Q7" i="5"/>
  <c r="Q8" i="5" s="1"/>
  <c r="Q9" i="5" s="1"/>
  <c r="Q10" i="5" s="1"/>
  <c r="Q11" i="5" s="1"/>
  <c r="Q13" i="5" s="1"/>
  <c r="Q14" i="5" s="1"/>
  <c r="Q15" i="5" s="1"/>
  <c r="Q16" i="5" s="1"/>
  <c r="Q17" i="5" s="1"/>
  <c r="Q18" i="5" s="1"/>
  <c r="Q20" i="5" s="1"/>
  <c r="Q21" i="5" s="1"/>
  <c r="Q22" i="5" s="1"/>
  <c r="Q23" i="5" s="1"/>
  <c r="Q24" i="5" s="1"/>
  <c r="Q25" i="5" s="1"/>
  <c r="Q27" i="5" s="1"/>
  <c r="Q28" i="5" s="1"/>
  <c r="Q29" i="5" s="1"/>
  <c r="Q30" i="5" s="1"/>
  <c r="Q31" i="5" s="1"/>
  <c r="Q32" i="5" s="1"/>
  <c r="Q34" i="5" s="1"/>
  <c r="Q35" i="5" s="1"/>
  <c r="L12" i="5"/>
  <c r="P10" i="5"/>
  <c r="L26" i="5"/>
  <c r="P21" i="5"/>
  <c r="P8" i="5"/>
  <c r="P17" i="5"/>
  <c r="L19" i="5"/>
  <c r="P14" i="5"/>
  <c r="P31" i="5"/>
  <c r="P29" i="5"/>
  <c r="Z29" i="5" s="1"/>
  <c r="P9" i="5"/>
  <c r="L33" i="5"/>
  <c r="P28" i="5"/>
  <c r="P16" i="5"/>
  <c r="P30" i="5"/>
  <c r="AA35" i="5"/>
  <c r="Y35" i="5" s="1"/>
  <c r="AB35" i="5" s="1"/>
  <c r="P11" i="5"/>
  <c r="P15" i="5"/>
  <c r="Z15" i="5" s="1"/>
  <c r="P25" i="5"/>
  <c r="Z25" i="5" s="1"/>
  <c r="P24" i="5"/>
  <c r="P18" i="5"/>
  <c r="Z18" i="5" s="1"/>
  <c r="P22" i="5"/>
  <c r="Z22" i="5" s="1"/>
  <c r="P32" i="5"/>
  <c r="P31" i="4"/>
  <c r="P22" i="4"/>
  <c r="Z22" i="4" s="1"/>
  <c r="P16" i="4"/>
  <c r="P11" i="4"/>
  <c r="L33" i="4"/>
  <c r="P28" i="4"/>
  <c r="T8" i="4"/>
  <c r="T9" i="4" s="1"/>
  <c r="T10" i="4" s="1"/>
  <c r="T11" i="4" s="1"/>
  <c r="T14" i="4" s="1"/>
  <c r="T15" i="4" s="1"/>
  <c r="P17" i="4"/>
  <c r="P23" i="4"/>
  <c r="P29" i="4"/>
  <c r="Z29" i="4" s="1"/>
  <c r="P10" i="4"/>
  <c r="P8" i="4"/>
  <c r="Q8" i="4"/>
  <c r="Q9" i="4" s="1"/>
  <c r="Q10" i="4" s="1"/>
  <c r="Q11" i="4" s="1"/>
  <c r="Q13" i="4" s="1"/>
  <c r="Q14" i="4" s="1"/>
  <c r="Q15" i="4" s="1"/>
  <c r="Q16" i="4" s="1"/>
  <c r="Q17" i="4" s="1"/>
  <c r="Q18" i="4" s="1"/>
  <c r="Q20" i="4" s="1"/>
  <c r="Q21" i="4" s="1"/>
  <c r="Q22" i="4" s="1"/>
  <c r="Q23" i="4" s="1"/>
  <c r="Q24" i="4" s="1"/>
  <c r="Q25" i="4" s="1"/>
  <c r="Q27" i="4" s="1"/>
  <c r="Q28" i="4" s="1"/>
  <c r="Q29" i="4" s="1"/>
  <c r="Q30" i="4" s="1"/>
  <c r="Q31" i="4" s="1"/>
  <c r="Q32" i="4" s="1"/>
  <c r="Q34" i="4" s="1"/>
  <c r="Q35" i="4" s="1"/>
  <c r="L19" i="4"/>
  <c r="P14" i="4"/>
  <c r="P18" i="4"/>
  <c r="Z18" i="4" s="1"/>
  <c r="P24" i="4"/>
  <c r="P9" i="4"/>
  <c r="P30" i="4"/>
  <c r="P15" i="4"/>
  <c r="Z15" i="4" s="1"/>
  <c r="L26" i="4"/>
  <c r="P21" i="4"/>
  <c r="P25" i="4"/>
  <c r="Z25" i="4" s="1"/>
  <c r="L12" i="4"/>
  <c r="Z35" i="4"/>
  <c r="AB35" i="4" s="1"/>
  <c r="P7" i="4"/>
  <c r="P32" i="4"/>
  <c r="Z32" i="4" s="1"/>
  <c r="Y8" i="5" l="1"/>
  <c r="Z8" i="5"/>
  <c r="Y8" i="4"/>
  <c r="Z8" i="4"/>
  <c r="T16" i="4"/>
  <c r="T17" i="4" s="1"/>
  <c r="T18" i="4" s="1"/>
  <c r="T21" i="4" s="1"/>
  <c r="T22" i="4" s="1"/>
  <c r="T23" i="4" s="1"/>
  <c r="T24" i="4" s="1"/>
  <c r="T25" i="4" s="1"/>
  <c r="T28" i="4" s="1"/>
  <c r="T29" i="4" s="1"/>
  <c r="T30" i="4" s="1"/>
  <c r="T31" i="4" s="1"/>
  <c r="T32" i="4" s="1"/>
  <c r="T35" i="4" s="1"/>
  <c r="T36" i="4" s="1"/>
  <c r="T37" i="4" s="1"/>
  <c r="T38" i="4" s="1"/>
  <c r="T39" i="4" s="1"/>
  <c r="Q36" i="5"/>
  <c r="Z36" i="5"/>
  <c r="T16" i="5"/>
  <c r="T17" i="5" s="1"/>
  <c r="T18" i="5" s="1"/>
  <c r="T21" i="5" s="1"/>
  <c r="T22" i="5" s="1"/>
  <c r="T23" i="5" s="1"/>
  <c r="T24" i="5" s="1"/>
  <c r="T25" i="5" s="1"/>
  <c r="T28" i="5" s="1"/>
  <c r="T29" i="5" s="1"/>
  <c r="T30" i="5" s="1"/>
  <c r="T31" i="5" s="1"/>
  <c r="T32" i="5" s="1"/>
  <c r="T35" i="5" s="1"/>
  <c r="T36" i="5" s="1"/>
  <c r="T37" i="5" s="1"/>
  <c r="T38" i="5" s="1"/>
  <c r="T39" i="5" s="1"/>
  <c r="AA7" i="5"/>
  <c r="Y7" i="5" s="1"/>
  <c r="Z7" i="5"/>
  <c r="P12" i="5"/>
  <c r="AA22" i="5"/>
  <c r="Y22" i="5" s="1"/>
  <c r="AB22" i="5" s="1"/>
  <c r="AA32" i="5"/>
  <c r="Y32" i="5" s="1"/>
  <c r="AB32" i="5" s="1"/>
  <c r="AA18" i="5"/>
  <c r="Y18" i="5" s="1"/>
  <c r="AB18" i="5" s="1"/>
  <c r="L43" i="5"/>
  <c r="C47" i="5" s="1"/>
  <c r="I8" i="21" s="1"/>
  <c r="I9" i="21" s="1"/>
  <c r="AA9" i="5"/>
  <c r="Y9" i="5" s="1"/>
  <c r="AA21" i="5"/>
  <c r="Y21" i="5" s="1"/>
  <c r="Z21" i="5"/>
  <c r="P26" i="5"/>
  <c r="AA24" i="5"/>
  <c r="Y24" i="5" s="1"/>
  <c r="Z24" i="5"/>
  <c r="AA25" i="5"/>
  <c r="Y25" i="5"/>
  <c r="AB25" i="5" s="1"/>
  <c r="AA28" i="5"/>
  <c r="Y28" i="5" s="1"/>
  <c r="Z28" i="5"/>
  <c r="P33" i="5"/>
  <c r="AA15" i="5"/>
  <c r="Y15" i="5" s="1"/>
  <c r="AB15" i="5" s="1"/>
  <c r="AA17" i="5"/>
  <c r="Y17" i="5" s="1"/>
  <c r="Z17" i="5"/>
  <c r="AA23" i="5"/>
  <c r="Y23" i="5" s="1"/>
  <c r="AB23" i="5" s="1"/>
  <c r="AA11" i="5"/>
  <c r="Y11" i="5" s="1"/>
  <c r="Z11" i="5"/>
  <c r="AA29" i="5"/>
  <c r="Y29" i="5" s="1"/>
  <c r="AB29" i="5" s="1"/>
  <c r="AA10" i="5"/>
  <c r="Y10" i="5" s="1"/>
  <c r="Z10" i="5"/>
  <c r="AA14" i="5"/>
  <c r="Y14" i="5" s="1"/>
  <c r="Z14" i="5"/>
  <c r="P19" i="5"/>
  <c r="AA16" i="5"/>
  <c r="Y16" i="5" s="1"/>
  <c r="AB16" i="5" s="1"/>
  <c r="AA30" i="5"/>
  <c r="Y30" i="5" s="1"/>
  <c r="AB30" i="5" s="1"/>
  <c r="AA31" i="5"/>
  <c r="Y31" i="5" s="1"/>
  <c r="Z31" i="5"/>
  <c r="Q36" i="4"/>
  <c r="P37" i="4" s="1"/>
  <c r="P36" i="4"/>
  <c r="AA17" i="4"/>
  <c r="Y17" i="4" s="1"/>
  <c r="Z17" i="4"/>
  <c r="AA11" i="4"/>
  <c r="Y11" i="4" s="1"/>
  <c r="Z11" i="4"/>
  <c r="AA18" i="4"/>
  <c r="Y18" i="4" s="1"/>
  <c r="AB18" i="4" s="1"/>
  <c r="AA9" i="4"/>
  <c r="Y9" i="4" s="1"/>
  <c r="AA23" i="4"/>
  <c r="Y23" i="4" s="1"/>
  <c r="AB23" i="4" s="1"/>
  <c r="AA16" i="4"/>
  <c r="Y16" i="4" s="1"/>
  <c r="AB16" i="4" s="1"/>
  <c r="AA32" i="4"/>
  <c r="Y32" i="4" s="1"/>
  <c r="AB32" i="4" s="1"/>
  <c r="AA14" i="4"/>
  <c r="Y14" i="4" s="1"/>
  <c r="Z14" i="4"/>
  <c r="P19" i="4"/>
  <c r="AA21" i="4"/>
  <c r="Y21" i="4" s="1"/>
  <c r="Z21" i="4"/>
  <c r="P26" i="4"/>
  <c r="AA15" i="4"/>
  <c r="Y15" i="4" s="1"/>
  <c r="AB15" i="4" s="1"/>
  <c r="Z7" i="4"/>
  <c r="AA7" i="4"/>
  <c r="Y7" i="4" s="1"/>
  <c r="P12" i="4"/>
  <c r="AA30" i="4"/>
  <c r="Y30" i="4" s="1"/>
  <c r="AB30" i="4" s="1"/>
  <c r="AA22" i="4"/>
  <c r="Y22" i="4" s="1"/>
  <c r="AB22" i="4" s="1"/>
  <c r="AA10" i="4"/>
  <c r="Y10" i="4" s="1"/>
  <c r="Z10" i="4"/>
  <c r="AA25" i="4"/>
  <c r="Y25" i="4" s="1"/>
  <c r="AB25" i="4" s="1"/>
  <c r="AA28" i="4"/>
  <c r="Y28" i="4" s="1"/>
  <c r="Z28" i="4"/>
  <c r="P33" i="4"/>
  <c r="AA24" i="4"/>
  <c r="Y24" i="4" s="1"/>
  <c r="Z24" i="4"/>
  <c r="AA29" i="4"/>
  <c r="Y29" i="4" s="1"/>
  <c r="AB29" i="4" s="1"/>
  <c r="L43" i="4"/>
  <c r="C47" i="4" s="1"/>
  <c r="H8" i="21" s="1"/>
  <c r="H9" i="21" s="1"/>
  <c r="AA31" i="4"/>
  <c r="Y31" i="4" s="1"/>
  <c r="Z31" i="4"/>
  <c r="AB8" i="5" l="1"/>
  <c r="AB8" i="4"/>
  <c r="AB10" i="5"/>
  <c r="AB11" i="5"/>
  <c r="AB14" i="5"/>
  <c r="AB10" i="4"/>
  <c r="AB11" i="4"/>
  <c r="AB14" i="4"/>
  <c r="AB17" i="4"/>
  <c r="AB21" i="4"/>
  <c r="AB24" i="4"/>
  <c r="AB28" i="4"/>
  <c r="AB31" i="4"/>
  <c r="AB24" i="5"/>
  <c r="AB28" i="5"/>
  <c r="AB17" i="5"/>
  <c r="AB31" i="5"/>
  <c r="AB21" i="5"/>
  <c r="C49" i="5"/>
  <c r="C48" i="5"/>
  <c r="AB7" i="5"/>
  <c r="AB9" i="5"/>
  <c r="AA36" i="5"/>
  <c r="Q37" i="5"/>
  <c r="AB9" i="4"/>
  <c r="AB7" i="4"/>
  <c r="Q37" i="4"/>
  <c r="C49" i="4"/>
  <c r="C48" i="4"/>
  <c r="AA36" i="4"/>
  <c r="Y36" i="4" s="1"/>
  <c r="AB36" i="4" s="1"/>
  <c r="F52" i="4" l="1"/>
  <c r="Y36" i="5"/>
  <c r="AA37" i="5"/>
  <c r="F52" i="5"/>
  <c r="F51" i="5"/>
  <c r="Q38" i="5"/>
  <c r="P38" i="5"/>
  <c r="F51" i="4"/>
  <c r="Q38" i="4"/>
  <c r="P38" i="4"/>
  <c r="AA37" i="4"/>
  <c r="Z38" i="5" l="1"/>
  <c r="AA38" i="5"/>
  <c r="Y37" i="5"/>
  <c r="AB37" i="5" s="1"/>
  <c r="AB36" i="5"/>
  <c r="Q39" i="5"/>
  <c r="P39" i="5"/>
  <c r="Y37" i="4"/>
  <c r="Q39" i="4"/>
  <c r="P39" i="4"/>
  <c r="AA39" i="4" s="1"/>
  <c r="AA38" i="4"/>
  <c r="Y38" i="4" s="1"/>
  <c r="Z38" i="4"/>
  <c r="AA42" i="4" l="1"/>
  <c r="AA44" i="4" s="1"/>
  <c r="Y39" i="4"/>
  <c r="AB39" i="4" s="1"/>
  <c r="AA39" i="5"/>
  <c r="AA42" i="5" s="1"/>
  <c r="AA44" i="5" s="1"/>
  <c r="P40" i="5"/>
  <c r="P43" i="5" s="1"/>
  <c r="AB38" i="5"/>
  <c r="AB42" i="5" s="1"/>
  <c r="Z42" i="5"/>
  <c r="Z44" i="5" s="1"/>
  <c r="Y42" i="5"/>
  <c r="Y44" i="5" s="1"/>
  <c r="AB38" i="4"/>
  <c r="Z42" i="4"/>
  <c r="Z44" i="4" s="1"/>
  <c r="AB37" i="4"/>
  <c r="P40" i="4"/>
  <c r="P43" i="4" s="1"/>
  <c r="Y42" i="4" l="1"/>
  <c r="Y44" i="4" s="1"/>
  <c r="AB44" i="4" s="1"/>
  <c r="AB44" i="5"/>
  <c r="AB42" i="4"/>
  <c r="C46" i="3" l="1"/>
  <c r="AC43" i="3"/>
  <c r="V43" i="3"/>
  <c r="Y39" i="3"/>
  <c r="AD38" i="3"/>
  <c r="Z38" i="3"/>
  <c r="K38" i="3"/>
  <c r="L38" i="3" s="1"/>
  <c r="P38" i="3" s="1"/>
  <c r="AD37" i="3"/>
  <c r="Z37" i="3"/>
  <c r="K37" i="3"/>
  <c r="L37" i="3" s="1"/>
  <c r="P37" i="3" s="1"/>
  <c r="AD36" i="3"/>
  <c r="K36" i="3"/>
  <c r="L36" i="3" s="1"/>
  <c r="P36" i="3" s="1"/>
  <c r="AD35" i="3"/>
  <c r="Z35" i="3"/>
  <c r="K35" i="3"/>
  <c r="AD32" i="3"/>
  <c r="K32" i="3"/>
  <c r="L32" i="3" s="1"/>
  <c r="AD31" i="3"/>
  <c r="K31" i="3"/>
  <c r="L31" i="3" s="1"/>
  <c r="AD30" i="3"/>
  <c r="Z30" i="3"/>
  <c r="K30" i="3"/>
  <c r="AD29" i="3"/>
  <c r="K29" i="3"/>
  <c r="L29" i="3" s="1"/>
  <c r="AD28" i="3"/>
  <c r="Z28" i="3"/>
  <c r="K28" i="3"/>
  <c r="L28" i="3" s="1"/>
  <c r="AD25" i="3"/>
  <c r="K25" i="3"/>
  <c r="L25" i="3" s="1"/>
  <c r="AD24" i="3"/>
  <c r="Z24" i="3"/>
  <c r="K24" i="3"/>
  <c r="L24" i="3" s="1"/>
  <c r="AD23" i="3"/>
  <c r="K23" i="3"/>
  <c r="AD22" i="3"/>
  <c r="K22" i="3"/>
  <c r="L22" i="3" s="1"/>
  <c r="AD21" i="3"/>
  <c r="AD18" i="3"/>
  <c r="K18" i="3"/>
  <c r="L18" i="3" s="1"/>
  <c r="AD17" i="3"/>
  <c r="K17" i="3"/>
  <c r="J17" i="3"/>
  <c r="AD16" i="3"/>
  <c r="Z16" i="3"/>
  <c r="K16" i="3"/>
  <c r="J16" i="3"/>
  <c r="AD15" i="3"/>
  <c r="K15" i="3"/>
  <c r="L15" i="3" s="1"/>
  <c r="AD14" i="3"/>
  <c r="K14" i="3"/>
  <c r="AD11" i="3"/>
  <c r="K11" i="3"/>
  <c r="L11" i="3" s="1"/>
  <c r="AD10" i="3"/>
  <c r="K10" i="3"/>
  <c r="J10" i="3"/>
  <c r="AD9" i="3"/>
  <c r="Z9" i="3"/>
  <c r="Z8" i="3"/>
  <c r="Z7" i="3"/>
  <c r="Y7" i="3"/>
  <c r="T5" i="3"/>
  <c r="T7" i="3" s="1"/>
  <c r="T8" i="3" s="1"/>
  <c r="C46" i="2"/>
  <c r="T5" i="2" s="1"/>
  <c r="AC43" i="2"/>
  <c r="V43" i="2"/>
  <c r="AD38" i="2"/>
  <c r="Z38" i="2"/>
  <c r="AD37" i="2"/>
  <c r="Z37" i="2"/>
  <c r="AD36" i="2"/>
  <c r="AD35" i="2"/>
  <c r="Z35" i="2"/>
  <c r="AD32" i="2"/>
  <c r="AD31" i="2"/>
  <c r="Z31" i="2"/>
  <c r="AD30" i="2"/>
  <c r="Z30" i="2"/>
  <c r="P30" i="2"/>
  <c r="AD29" i="2"/>
  <c r="AD28" i="2"/>
  <c r="Z28" i="2"/>
  <c r="AD25" i="2"/>
  <c r="P25" i="2"/>
  <c r="Z25" i="2" s="1"/>
  <c r="AD24" i="2"/>
  <c r="AD23" i="2"/>
  <c r="Z23" i="2"/>
  <c r="AD22" i="2"/>
  <c r="AD21" i="2"/>
  <c r="Z21" i="2"/>
  <c r="AD18" i="2"/>
  <c r="AD17" i="2"/>
  <c r="AD16" i="2"/>
  <c r="Z16" i="2"/>
  <c r="AD15" i="2"/>
  <c r="AD14" i="2"/>
  <c r="Z14" i="2"/>
  <c r="AD11" i="2"/>
  <c r="AD10" i="2"/>
  <c r="AD9" i="2"/>
  <c r="Z9" i="2"/>
  <c r="Z7" i="2"/>
  <c r="Y7" i="2"/>
  <c r="P39" i="2" l="1"/>
  <c r="L10" i="3"/>
  <c r="L16" i="3"/>
  <c r="P16" i="3" s="1"/>
  <c r="L23" i="3"/>
  <c r="L14" i="3"/>
  <c r="P14" i="3" s="1"/>
  <c r="Z14" i="3" s="1"/>
  <c r="L17" i="3"/>
  <c r="P7" i="1"/>
  <c r="AB7" i="2"/>
  <c r="Q9" i="3"/>
  <c r="Q10" i="3" s="1"/>
  <c r="Q11" i="3" s="1"/>
  <c r="Q13" i="3" s="1"/>
  <c r="P9" i="3"/>
  <c r="P15" i="3"/>
  <c r="Z15" i="3" s="1"/>
  <c r="P29" i="3"/>
  <c r="Z29" i="3" s="1"/>
  <c r="P24" i="3"/>
  <c r="P22" i="3"/>
  <c r="Z22" i="3" s="1"/>
  <c r="T9" i="3"/>
  <c r="P10" i="3"/>
  <c r="Z10" i="3" s="1"/>
  <c r="P23" i="3"/>
  <c r="Z23" i="3" s="1"/>
  <c r="L26" i="3"/>
  <c r="P21" i="3"/>
  <c r="Z21" i="3" s="1"/>
  <c r="L12" i="3"/>
  <c r="P18" i="3"/>
  <c r="Z18" i="3" s="1"/>
  <c r="P25" i="3"/>
  <c r="Z25" i="3" s="1"/>
  <c r="P11" i="3"/>
  <c r="Z11" i="3" s="1"/>
  <c r="P32" i="3"/>
  <c r="Z32" i="3" s="1"/>
  <c r="AA7" i="3"/>
  <c r="L30" i="3"/>
  <c r="L33" i="3" s="1"/>
  <c r="L35" i="3"/>
  <c r="P35" i="3" s="1"/>
  <c r="AB7" i="3"/>
  <c r="P31" i="3"/>
  <c r="Z31" i="3" s="1"/>
  <c r="Y8" i="3"/>
  <c r="AB8" i="3" s="1"/>
  <c r="P28" i="3"/>
  <c r="P38" i="2"/>
  <c r="L26" i="2"/>
  <c r="L12" i="2"/>
  <c r="P9" i="2"/>
  <c r="P31" i="2"/>
  <c r="P10" i="2"/>
  <c r="Z10" i="2" s="1"/>
  <c r="P32" i="2"/>
  <c r="Z32" i="2" s="1"/>
  <c r="P24" i="2"/>
  <c r="Z24" i="2" s="1"/>
  <c r="P21" i="2"/>
  <c r="P22" i="2"/>
  <c r="Z22" i="2" s="1"/>
  <c r="AA30" i="2"/>
  <c r="Y30" i="2" s="1"/>
  <c r="AB30" i="2" s="1"/>
  <c r="AA25" i="2"/>
  <c r="Y25" i="2" s="1"/>
  <c r="AB25" i="2" s="1"/>
  <c r="L19" i="2"/>
  <c r="P14" i="2"/>
  <c r="P17" i="2"/>
  <c r="Z17" i="2" s="1"/>
  <c r="Q7" i="2"/>
  <c r="Q8" i="2" s="1"/>
  <c r="Q9" i="2" s="1"/>
  <c r="Q10" i="2" s="1"/>
  <c r="Q11" i="2" s="1"/>
  <c r="Q13" i="2" s="1"/>
  <c r="Q14" i="2" s="1"/>
  <c r="Q15" i="2" s="1"/>
  <c r="Q16" i="2" s="1"/>
  <c r="Q17" i="2" s="1"/>
  <c r="Q18" i="2" s="1"/>
  <c r="Q20" i="2" s="1"/>
  <c r="Q21" i="2" s="1"/>
  <c r="Q22" i="2" s="1"/>
  <c r="Q23" i="2" s="1"/>
  <c r="Q24" i="2" s="1"/>
  <c r="Q25" i="2" s="1"/>
  <c r="Q27" i="2" s="1"/>
  <c r="Q28" i="2" s="1"/>
  <c r="Q29" i="2" s="1"/>
  <c r="Q30" i="2" s="1"/>
  <c r="Q31" i="2" s="1"/>
  <c r="Q32" i="2" s="1"/>
  <c r="Q34" i="2" s="1"/>
  <c r="Q35" i="2" s="1"/>
  <c r="P29" i="2"/>
  <c r="Z29" i="2" s="1"/>
  <c r="P11" i="2"/>
  <c r="Z11" i="2" s="1"/>
  <c r="P16" i="2"/>
  <c r="T7" i="2"/>
  <c r="T8" i="2" s="1"/>
  <c r="L33" i="2"/>
  <c r="P28" i="2"/>
  <c r="P15" i="2"/>
  <c r="Z15" i="2" s="1"/>
  <c r="P18" i="2"/>
  <c r="Z18" i="2" s="1"/>
  <c r="P23" i="2"/>
  <c r="P8" i="2"/>
  <c r="Y8" i="2" l="1"/>
  <c r="Z8" i="2"/>
  <c r="T10" i="3"/>
  <c r="T11" i="3" s="1"/>
  <c r="L40" i="2"/>
  <c r="L43" i="2" s="1"/>
  <c r="C47" i="2" s="1"/>
  <c r="E8" i="21" s="1"/>
  <c r="E9" i="21" s="1"/>
  <c r="Q14" i="3"/>
  <c r="Q15" i="3" s="1"/>
  <c r="Q16" i="3" s="1"/>
  <c r="Q17" i="3" s="1"/>
  <c r="Q18" i="3" s="1"/>
  <c r="Q20" i="3" s="1"/>
  <c r="Q21" i="3" s="1"/>
  <c r="Q22" i="3" s="1"/>
  <c r="Q23" i="3" s="1"/>
  <c r="Q24" i="3" s="1"/>
  <c r="Q25" i="3" s="1"/>
  <c r="Q27" i="3" s="1"/>
  <c r="Q28" i="3" s="1"/>
  <c r="Q29" i="3" s="1"/>
  <c r="Q30" i="3" s="1"/>
  <c r="Q31" i="3" s="1"/>
  <c r="Q32" i="3" s="1"/>
  <c r="Q34" i="3" s="1"/>
  <c r="Q35" i="3" s="1"/>
  <c r="L19" i="3"/>
  <c r="T14" i="3"/>
  <c r="T15" i="3" s="1"/>
  <c r="T16" i="3" s="1"/>
  <c r="P17" i="3"/>
  <c r="Z17" i="3" s="1"/>
  <c r="AA11" i="3"/>
  <c r="Y11" i="3"/>
  <c r="AB11" i="3" s="1"/>
  <c r="AA14" i="3"/>
  <c r="Y14" i="3" s="1"/>
  <c r="AB14" i="3" s="1"/>
  <c r="AA28" i="3"/>
  <c r="Y28" i="3" s="1"/>
  <c r="AB28" i="3" s="1"/>
  <c r="AA31" i="3"/>
  <c r="Y31" i="3" s="1"/>
  <c r="AB31" i="3" s="1"/>
  <c r="AA23" i="3"/>
  <c r="Y23" i="3" s="1"/>
  <c r="AB23" i="3" s="1"/>
  <c r="AA29" i="3"/>
  <c r="Y29" i="3" s="1"/>
  <c r="AB29" i="3" s="1"/>
  <c r="L40" i="3"/>
  <c r="P12" i="3"/>
  <c r="P30" i="3"/>
  <c r="P33" i="3" s="1"/>
  <c r="AA18" i="3"/>
  <c r="Y18" i="3"/>
  <c r="AB18" i="3" s="1"/>
  <c r="AA10" i="3"/>
  <c r="Y10" i="3" s="1"/>
  <c r="AB10" i="3" s="1"/>
  <c r="AA15" i="3"/>
  <c r="Y15" i="3" s="1"/>
  <c r="AB15" i="3" s="1"/>
  <c r="L43" i="3"/>
  <c r="C47" i="3" s="1"/>
  <c r="G8" i="21" s="1"/>
  <c r="G9" i="21" s="1"/>
  <c r="AA22" i="3"/>
  <c r="Y22" i="3" s="1"/>
  <c r="AB22" i="3" s="1"/>
  <c r="AA24" i="3"/>
  <c r="Y24" i="3" s="1"/>
  <c r="AB24" i="3" s="1"/>
  <c r="AA25" i="3"/>
  <c r="Y25" i="3" s="1"/>
  <c r="AB25" i="3" s="1"/>
  <c r="AA9" i="3"/>
  <c r="AA32" i="3"/>
  <c r="Y32" i="3"/>
  <c r="AB32" i="3" s="1"/>
  <c r="AA16" i="3"/>
  <c r="Y16" i="3" s="1"/>
  <c r="AB16" i="3" s="1"/>
  <c r="AA21" i="3"/>
  <c r="Y21" i="3" s="1"/>
  <c r="AB21" i="3" s="1"/>
  <c r="P26" i="3"/>
  <c r="T9" i="2"/>
  <c r="T10" i="2" s="1"/>
  <c r="T11" i="2" s="1"/>
  <c r="T14" i="2" s="1"/>
  <c r="T15" i="2" s="1"/>
  <c r="T16" i="2" s="1"/>
  <c r="T17" i="2" s="1"/>
  <c r="T18" i="2" s="1"/>
  <c r="T21" i="2" s="1"/>
  <c r="T22" i="2" s="1"/>
  <c r="T23" i="2" s="1"/>
  <c r="T24" i="2" s="1"/>
  <c r="T25" i="2" s="1"/>
  <c r="T28" i="2" s="1"/>
  <c r="T29" i="2" s="1"/>
  <c r="T30" i="2" s="1"/>
  <c r="T31" i="2" s="1"/>
  <c r="T32" i="2" s="1"/>
  <c r="T35" i="2" s="1"/>
  <c r="T36" i="2" s="1"/>
  <c r="T37" i="2" s="1"/>
  <c r="T38" i="2" s="1"/>
  <c r="T39" i="2" s="1"/>
  <c r="P7" i="2"/>
  <c r="AA7" i="2" s="1"/>
  <c r="Q36" i="2"/>
  <c r="Z36" i="2"/>
  <c r="P19" i="2"/>
  <c r="AA14" i="2"/>
  <c r="Y14" i="2" s="1"/>
  <c r="AB14" i="2" s="1"/>
  <c r="AA24" i="2"/>
  <c r="Y24" i="2" s="1"/>
  <c r="AB24" i="2" s="1"/>
  <c r="AA11" i="2"/>
  <c r="Y11" i="2" s="1"/>
  <c r="AB11" i="2" s="1"/>
  <c r="AA15" i="2"/>
  <c r="Y15" i="2" s="1"/>
  <c r="AB15" i="2" s="1"/>
  <c r="AA32" i="2"/>
  <c r="Y32" i="2" s="1"/>
  <c r="AB32" i="2" s="1"/>
  <c r="AA18" i="2"/>
  <c r="Y18" i="2" s="1"/>
  <c r="AB18" i="2" s="1"/>
  <c r="AA28" i="2"/>
  <c r="Y28" i="2" s="1"/>
  <c r="AB28" i="2" s="1"/>
  <c r="P33" i="2"/>
  <c r="AA10" i="2"/>
  <c r="Y10" i="2" s="1"/>
  <c r="AB10" i="2" s="1"/>
  <c r="AA23" i="2"/>
  <c r="Y23" i="2" s="1"/>
  <c r="AB23" i="2" s="1"/>
  <c r="AA29" i="2"/>
  <c r="Y29" i="2" s="1"/>
  <c r="AB29" i="2" s="1"/>
  <c r="AA9" i="2"/>
  <c r="Y9" i="2" s="1"/>
  <c r="AA35" i="2"/>
  <c r="Y35" i="2" s="1"/>
  <c r="AB35" i="2" s="1"/>
  <c r="AA21" i="2"/>
  <c r="Y21" i="2" s="1"/>
  <c r="AB21" i="2" s="1"/>
  <c r="P26" i="2"/>
  <c r="AA16" i="2"/>
  <c r="Y16" i="2" s="1"/>
  <c r="AB16" i="2" s="1"/>
  <c r="AA17" i="2"/>
  <c r="Y17" i="2" s="1"/>
  <c r="AB17" i="2" s="1"/>
  <c r="AA31" i="2"/>
  <c r="Y31" i="2" s="1"/>
  <c r="AB31" i="2" s="1"/>
  <c r="AA22" i="2"/>
  <c r="Y22" i="2" s="1"/>
  <c r="AB22" i="2" s="1"/>
  <c r="AB8" i="2" l="1"/>
  <c r="AA17" i="3"/>
  <c r="Y17" i="3" s="1"/>
  <c r="AB17" i="3" s="1"/>
  <c r="P19" i="3"/>
  <c r="T17" i="3"/>
  <c r="T18" i="3" s="1"/>
  <c r="T21" i="3" s="1"/>
  <c r="T22" i="3" s="1"/>
  <c r="T23" i="3" s="1"/>
  <c r="T24" i="3" s="1"/>
  <c r="T25" i="3" s="1"/>
  <c r="T28" i="3" s="1"/>
  <c r="T29" i="3" s="1"/>
  <c r="T30" i="3" s="1"/>
  <c r="T31" i="3" s="1"/>
  <c r="T32" i="3" s="1"/>
  <c r="T35" i="3" s="1"/>
  <c r="T36" i="3" s="1"/>
  <c r="T37" i="3" s="1"/>
  <c r="T38" i="3" s="1"/>
  <c r="T39" i="3" s="1"/>
  <c r="Z36" i="3"/>
  <c r="Q36" i="3"/>
  <c r="AA30" i="3"/>
  <c r="Y30" i="3" s="1"/>
  <c r="AB30" i="3" s="1"/>
  <c r="Y9" i="3"/>
  <c r="C49" i="3"/>
  <c r="C48" i="3"/>
  <c r="AA35" i="3"/>
  <c r="Y35" i="3" s="1"/>
  <c r="AB35" i="3" s="1"/>
  <c r="P12" i="2"/>
  <c r="AB9" i="2"/>
  <c r="C49" i="2"/>
  <c r="C48" i="2"/>
  <c r="AA36" i="2"/>
  <c r="Y36" i="2" s="1"/>
  <c r="Q37" i="2"/>
  <c r="AA36" i="3" l="1"/>
  <c r="Y36" i="3" s="1"/>
  <c r="AB36" i="3" s="1"/>
  <c r="AB9" i="3"/>
  <c r="Q37" i="3"/>
  <c r="F52" i="3"/>
  <c r="F51" i="3"/>
  <c r="AB36" i="2"/>
  <c r="AA37" i="2"/>
  <c r="Y37" i="2" s="1"/>
  <c r="AB37" i="2" s="1"/>
  <c r="Q38" i="2"/>
  <c r="F52" i="2"/>
  <c r="F51" i="2"/>
  <c r="Q38" i="3" l="1"/>
  <c r="AA37" i="3"/>
  <c r="Y37" i="3" s="1"/>
  <c r="AB37" i="3" s="1"/>
  <c r="Q39" i="2"/>
  <c r="Z39" i="2"/>
  <c r="Z42" i="2" s="1"/>
  <c r="Z44" i="2" s="1"/>
  <c r="AA38" i="2"/>
  <c r="Y38" i="2" s="1"/>
  <c r="AB38" i="2" s="1"/>
  <c r="Q39" i="3" l="1"/>
  <c r="AA38" i="3"/>
  <c r="Y38" i="3"/>
  <c r="AA39" i="2"/>
  <c r="AA42" i="2" s="1"/>
  <c r="AA44" i="2" s="1"/>
  <c r="P40" i="2"/>
  <c r="P43" i="2" s="1"/>
  <c r="AA39" i="3" l="1"/>
  <c r="AA42" i="3" s="1"/>
  <c r="AA44" i="3" s="1"/>
  <c r="Z39" i="3"/>
  <c r="P40" i="3"/>
  <c r="P43" i="3" s="1"/>
  <c r="AB38" i="3"/>
  <c r="Y42" i="3"/>
  <c r="Y44" i="3" s="1"/>
  <c r="Y39" i="2"/>
  <c r="AB39" i="3" l="1"/>
  <c r="AB42" i="3" s="1"/>
  <c r="Z42" i="3"/>
  <c r="Z44" i="3" s="1"/>
  <c r="AB44" i="3" s="1"/>
  <c r="AB39" i="2"/>
  <c r="AB42" i="2" s="1"/>
  <c r="Y42" i="2"/>
  <c r="Y44" i="2" s="1"/>
  <c r="AB44" i="2" s="1"/>
  <c r="J31" i="1" l="1"/>
  <c r="J30" i="1"/>
  <c r="J24" i="1"/>
  <c r="J23" i="1"/>
  <c r="J21" i="1"/>
  <c r="J17" i="1" l="1"/>
  <c r="J16" i="1"/>
  <c r="J9" i="1"/>
  <c r="J10" i="1"/>
  <c r="J14" i="1" l="1"/>
  <c r="K32" i="1" l="1"/>
  <c r="L32" i="1" s="1"/>
  <c r="K31" i="1"/>
  <c r="L31" i="1" s="1"/>
  <c r="K30" i="1"/>
  <c r="L30" i="1" s="1"/>
  <c r="K29" i="1"/>
  <c r="L29" i="1" s="1"/>
  <c r="K25" i="1"/>
  <c r="L25" i="1" s="1"/>
  <c r="K24" i="1"/>
  <c r="L24" i="1" s="1"/>
  <c r="K23" i="1"/>
  <c r="L23" i="1" s="1"/>
  <c r="K22" i="1"/>
  <c r="L22" i="1" s="1"/>
  <c r="K18" i="1"/>
  <c r="L18" i="1" s="1"/>
  <c r="K17" i="1"/>
  <c r="L17" i="1" s="1"/>
  <c r="K16" i="1"/>
  <c r="L16" i="1" s="1"/>
  <c r="K15" i="1"/>
  <c r="L15" i="1" s="1"/>
  <c r="K21" i="1"/>
  <c r="K14" i="1"/>
  <c r="P28" i="1" l="1"/>
  <c r="L21" i="1"/>
  <c r="L14" i="1"/>
  <c r="Q7" i="1" l="1"/>
  <c r="P23" i="1" l="1"/>
  <c r="K11" i="1"/>
  <c r="L11" i="1" s="1"/>
  <c r="K10" i="1"/>
  <c r="L10" i="1" s="1"/>
  <c r="K9" i="1"/>
  <c r="L9" i="1" s="1"/>
  <c r="L8" i="1"/>
  <c r="Q8" i="1" l="1"/>
  <c r="P8" i="1"/>
  <c r="P10" i="1"/>
  <c r="P11" i="1"/>
  <c r="P9" i="1"/>
  <c r="Y39" i="1"/>
  <c r="Z37" i="1"/>
  <c r="P12" i="1" l="1"/>
  <c r="Q9" i="1"/>
  <c r="Q10" i="1" s="1"/>
  <c r="Q11" i="1" s="1"/>
  <c r="Q13" i="1" s="1"/>
  <c r="P18" i="1" l="1"/>
  <c r="P25" i="1" l="1"/>
  <c r="P24" i="1"/>
  <c r="P17" i="1"/>
  <c r="P16" i="1"/>
  <c r="P15" i="1"/>
  <c r="P21" i="1" l="1"/>
  <c r="P22" i="1"/>
  <c r="Z22" i="1" s="1"/>
  <c r="Z30" i="1"/>
  <c r="Z23" i="1"/>
  <c r="Z15" i="1"/>
  <c r="Z16" i="1"/>
  <c r="Z18" i="1"/>
  <c r="P29" i="1"/>
  <c r="Z29" i="1" s="1"/>
  <c r="P30" i="1"/>
  <c r="P31" i="1"/>
  <c r="P32" i="1"/>
  <c r="Z32" i="1" s="1"/>
  <c r="P26" i="1" l="1"/>
  <c r="P33" i="1"/>
  <c r="Q14" i="1"/>
  <c r="Q15" i="1" s="1"/>
  <c r="Q16" i="1" s="1"/>
  <c r="Q17" i="1" s="1"/>
  <c r="Q18" i="1" s="1"/>
  <c r="Q20" i="1" s="1"/>
  <c r="Q21" i="1" s="1"/>
  <c r="Q22" i="1" s="1"/>
  <c r="Q23" i="1" s="1"/>
  <c r="Q24" i="1" s="1"/>
  <c r="Q25" i="1" s="1"/>
  <c r="Q27" i="1" s="1"/>
  <c r="Q28" i="1" s="1"/>
  <c r="Q29" i="1" s="1"/>
  <c r="Q30" i="1" s="1"/>
  <c r="Q31" i="1" s="1"/>
  <c r="Q32" i="1" s="1"/>
  <c r="Q34" i="1" s="1"/>
  <c r="P14" i="1"/>
  <c r="P19" i="1" s="1"/>
  <c r="L26" i="1"/>
  <c r="Q35" i="1" l="1"/>
  <c r="Q36" i="1" s="1"/>
  <c r="Q37" i="1" s="1"/>
  <c r="Q38" i="1" s="1"/>
  <c r="Q39" i="1" s="1"/>
  <c r="AD38" i="1"/>
  <c r="AD37" i="1"/>
  <c r="AD36" i="1"/>
  <c r="AD35" i="1"/>
  <c r="AD32" i="1"/>
  <c r="AD31" i="1"/>
  <c r="AD30" i="1"/>
  <c r="AD29" i="1"/>
  <c r="AD28" i="1"/>
  <c r="AD25" i="1"/>
  <c r="AD24" i="1"/>
  <c r="AD23" i="1"/>
  <c r="AD22" i="1"/>
  <c r="AD21" i="1"/>
  <c r="AD18" i="1"/>
  <c r="AD17" i="1"/>
  <c r="AD16" i="1"/>
  <c r="AD15" i="1"/>
  <c r="AD14" i="1"/>
  <c r="Z9" i="1" l="1"/>
  <c r="AC43" i="1"/>
  <c r="V43" i="1"/>
  <c r="AD11" i="1"/>
  <c r="AD10" i="1"/>
  <c r="AD9" i="1"/>
  <c r="Z7" i="1" l="1"/>
  <c r="T5" i="1"/>
  <c r="T7" i="1" s="1"/>
  <c r="T8" i="1" s="1"/>
  <c r="T9" i="1" s="1"/>
  <c r="T10" i="1" s="1"/>
  <c r="T11" i="1" s="1"/>
  <c r="T14" i="1" s="1"/>
  <c r="T15" i="1" s="1"/>
  <c r="AA7" i="1" l="1"/>
  <c r="Y7" i="1" s="1"/>
  <c r="AB7" i="1" s="1"/>
  <c r="L12" i="1"/>
  <c r="L19" i="1"/>
  <c r="Y8" i="1" l="1"/>
  <c r="Z8" i="1"/>
  <c r="AB8" i="1" l="1"/>
  <c r="AA9" i="1"/>
  <c r="Y9" i="1" s="1"/>
  <c r="AB9" i="1" s="1"/>
  <c r="Z10" i="1"/>
  <c r="L33" i="1"/>
  <c r="AA10" i="1" l="1"/>
  <c r="Y10" i="1" s="1"/>
  <c r="Z11" i="1"/>
  <c r="L40" i="1"/>
  <c r="L43" i="1" s="1"/>
  <c r="C47" i="1" s="1"/>
  <c r="F8" i="21" s="1"/>
  <c r="F9" i="21" l="1"/>
  <c r="O8" i="21"/>
  <c r="P8" i="21" s="1"/>
  <c r="AA11" i="1"/>
  <c r="Y11" i="1" s="1"/>
  <c r="AB10" i="1"/>
  <c r="Z14" i="1"/>
  <c r="AB11" i="1" l="1"/>
  <c r="AA14" i="1"/>
  <c r="Y14" i="1" s="1"/>
  <c r="AA15" i="1" l="1"/>
  <c r="Y15" i="1" s="1"/>
  <c r="AB14" i="1"/>
  <c r="T16" i="1"/>
  <c r="C49" i="1"/>
  <c r="C48" i="1"/>
  <c r="AB15" i="1" l="1"/>
  <c r="T17" i="1"/>
  <c r="T18" i="1" s="1"/>
  <c r="T21" i="1" s="1"/>
  <c r="T22" i="1" s="1"/>
  <c r="T23" i="1" s="1"/>
  <c r="T24" i="1" s="1"/>
  <c r="T25" i="1" s="1"/>
  <c r="T28" i="1" s="1"/>
  <c r="T29" i="1" s="1"/>
  <c r="T30" i="1" s="1"/>
  <c r="T31" i="1" s="1"/>
  <c r="T32" i="1" s="1"/>
  <c r="T35" i="1" s="1"/>
  <c r="T36" i="1" s="1"/>
  <c r="T37" i="1" s="1"/>
  <c r="T38" i="1" s="1"/>
  <c r="T39" i="1" s="1"/>
  <c r="AA16" i="1"/>
  <c r="Y16" i="1" s="1"/>
  <c r="AA17" i="1" l="1"/>
  <c r="Y17" i="1" s="1"/>
  <c r="Z17" i="1"/>
  <c r="AB16" i="1"/>
  <c r="Z21" i="1"/>
  <c r="AB17" i="1" l="1"/>
  <c r="AA18" i="1"/>
  <c r="Y18" i="1" s="1"/>
  <c r="AB18" i="1" s="1"/>
  <c r="AA21" i="1"/>
  <c r="Y21" i="1" s="1"/>
  <c r="AB21" i="1" l="1"/>
  <c r="AA22" i="1" l="1"/>
  <c r="Y22" i="1" l="1"/>
  <c r="AB22" i="1" s="1"/>
  <c r="AA23" i="1"/>
  <c r="Y23" i="1" s="1"/>
  <c r="Z24" i="1"/>
  <c r="AB23" i="1" l="1"/>
  <c r="AA24" i="1"/>
  <c r="Y24" i="1" s="1"/>
  <c r="Z25" i="1"/>
  <c r="AA25" i="1" l="1"/>
  <c r="AB24" i="1"/>
  <c r="Z28" i="1"/>
  <c r="Y25" i="1" l="1"/>
  <c r="AB25" i="1" s="1"/>
  <c r="AA28" i="1"/>
  <c r="Y28" i="1" s="1"/>
  <c r="AA29" i="1" l="1"/>
  <c r="Y29" i="1" s="1"/>
  <c r="AB28" i="1"/>
  <c r="AA30" i="1" l="1"/>
  <c r="Y30" i="1" s="1"/>
  <c r="AB29" i="1"/>
  <c r="Z31" i="1"/>
  <c r="AB30" i="1" l="1"/>
  <c r="AA31" i="1"/>
  <c r="Y31" i="1" s="1"/>
  <c r="AA32" i="1" l="1"/>
  <c r="AB31" i="1"/>
  <c r="Z35" i="1"/>
  <c r="Y32" i="1" l="1"/>
  <c r="AB32" i="1" s="1"/>
  <c r="AA35" i="1"/>
  <c r="Y35" i="1" s="1"/>
  <c r="Z36" i="1"/>
  <c r="AB35" i="1" l="1"/>
  <c r="AA36" i="1"/>
  <c r="Y36" i="1" s="1"/>
  <c r="AA37" i="1" l="1"/>
  <c r="Y37" i="1" s="1"/>
  <c r="AB36" i="1"/>
  <c r="P38" i="1"/>
  <c r="Z38" i="1" l="1"/>
  <c r="AB37" i="1"/>
  <c r="AA38" i="1"/>
  <c r="Y38" i="1" s="1"/>
  <c r="Y42" i="1" s="1"/>
  <c r="Y44" i="1" s="1"/>
  <c r="P39" i="1"/>
  <c r="Z39" i="1" l="1"/>
  <c r="AB39" i="1" s="1"/>
  <c r="P40" i="1"/>
  <c r="P43" i="1" s="1"/>
  <c r="AB38" i="1"/>
  <c r="AA39" i="1"/>
  <c r="AA42" i="1" s="1"/>
  <c r="AA44" i="1" s="1"/>
  <c r="Z42" i="1" l="1"/>
  <c r="Z44" i="1" s="1"/>
  <c r="AB44" i="1" s="1"/>
  <c r="AB42" i="1"/>
  <c r="F51" i="1" l="1"/>
  <c r="F52" i="1" l="1"/>
  <c r="B26" i="21"/>
  <c r="D25" i="21"/>
  <c r="D26" i="21" s="1"/>
  <c r="D27" i="21" s="1"/>
  <c r="N3" i="21"/>
  <c r="D29" i="21" l="1"/>
  <c r="E29" i="21"/>
  <c r="N7" i="21"/>
  <c r="O7" i="21" s="1"/>
  <c r="C53" i="19"/>
  <c r="N4" i="21" s="1"/>
  <c r="O4" i="21" s="1"/>
  <c r="P7" i="21"/>
  <c r="P5" i="21" l="1"/>
  <c r="N6" i="21"/>
  <c r="O6" i="21" l="1"/>
  <c r="Q7" i="21" s="1"/>
  <c r="N9" i="21"/>
</calcChain>
</file>

<file path=xl/sharedStrings.xml><?xml version="1.0" encoding="utf-8"?>
<sst xmlns="http://schemas.openxmlformats.org/spreadsheetml/2006/main" count="1124" uniqueCount="96">
  <si>
    <t>Empresa:</t>
  </si>
  <si>
    <t>Tiempo min comida</t>
  </si>
  <si>
    <t>Dias Mes:</t>
  </si>
  <si>
    <t>Nombre:</t>
  </si>
  <si>
    <t>Tiempo desayuno</t>
  </si>
  <si>
    <t>Horas / Día:</t>
  </si>
  <si>
    <t>Mes:</t>
  </si>
  <si>
    <t>Día</t>
  </si>
  <si>
    <t>ENTRADA</t>
  </si>
  <si>
    <t>Salida Desay</t>
  </si>
  <si>
    <t>Entrada Desay</t>
  </si>
  <si>
    <t>Salida Comida</t>
  </si>
  <si>
    <t>Entrada Comida</t>
  </si>
  <si>
    <t>Hora Salida</t>
  </si>
  <si>
    <t>Hora Entrada</t>
  </si>
  <si>
    <t>SALIDA</t>
  </si>
  <si>
    <t>Total Comida</t>
  </si>
  <si>
    <t>Total Desayuno</t>
  </si>
  <si>
    <t>Total Día</t>
  </si>
  <si>
    <t>Semana 1</t>
  </si>
  <si>
    <t>Semana 2</t>
  </si>
  <si>
    <t>Semana 3</t>
  </si>
  <si>
    <t>Semana 4</t>
  </si>
  <si>
    <t>Semana 5</t>
  </si>
  <si>
    <t>Total Mes</t>
  </si>
  <si>
    <t>HORAS TOTAL MES:</t>
  </si>
  <si>
    <t>Hechas:</t>
  </si>
  <si>
    <t>Faltan:</t>
  </si>
  <si>
    <t>Sobran:</t>
  </si>
  <si>
    <t xml:space="preserve"> </t>
  </si>
  <si>
    <t>Acumuladas Faltan:</t>
  </si>
  <si>
    <t>Saldo Faltan:</t>
  </si>
  <si>
    <t>Acumuladas Sobran:</t>
  </si>
  <si>
    <t>Saldo Sobran:</t>
  </si>
  <si>
    <t>Vacaciones:</t>
  </si>
  <si>
    <t>Vacaciones Acumuladas:</t>
  </si>
  <si>
    <t xml:space="preserve">Puentes Recuperables: </t>
  </si>
  <si>
    <t>Puentes Recuperables Acum:</t>
  </si>
  <si>
    <t>IZERTIS</t>
  </si>
  <si>
    <t>% R.Domic.</t>
  </si>
  <si>
    <t>Días R.Dom:</t>
  </si>
  <si>
    <t>IZERTIA</t>
  </si>
  <si>
    <t>IZERTIA/JIRA</t>
  </si>
  <si>
    <t>Teletrabajo tardes MIXTO</t>
  </si>
  <si>
    <t>Ubic</t>
  </si>
  <si>
    <t>O</t>
  </si>
  <si>
    <t>JIRA</t>
  </si>
  <si>
    <t>CONTROL TELETRABAJO</t>
  </si>
  <si>
    <t>OFICINA</t>
  </si>
  <si>
    <t>CASA</t>
  </si>
  <si>
    <t>MIXTA T.</t>
  </si>
  <si>
    <t>Total</t>
  </si>
  <si>
    <t>:</t>
  </si>
  <si>
    <t>C</t>
  </si>
  <si>
    <t>Mayo - 25</t>
  </si>
  <si>
    <t>Junio - 25</t>
  </si>
  <si>
    <t>Julio - 25</t>
  </si>
  <si>
    <t>Agosto 25</t>
  </si>
  <si>
    <t>Septiembre - 25</t>
  </si>
  <si>
    <t>Octubre - 25</t>
  </si>
  <si>
    <t>Noviembre - 25</t>
  </si>
  <si>
    <t>Diciembre -25</t>
  </si>
  <si>
    <t>Enero - 26</t>
  </si>
  <si>
    <t>Febrero - 26</t>
  </si>
  <si>
    <t>Marzo - 26</t>
  </si>
  <si>
    <t>Abril - 26</t>
  </si>
  <si>
    <t>Mayo - 26</t>
  </si>
  <si>
    <t>Vacaciones</t>
  </si>
  <si>
    <t>Días 8h</t>
  </si>
  <si>
    <t>Días 7h</t>
  </si>
  <si>
    <t>Días Vacaciones 8h</t>
  </si>
  <si>
    <t>Días Vacaciones 7h</t>
  </si>
  <si>
    <t>Horas Vacaciones</t>
  </si>
  <si>
    <t>Horas Mes</t>
  </si>
  <si>
    <t>Horas Realizadas</t>
  </si>
  <si>
    <t>Horas Sobrantes</t>
  </si>
  <si>
    <t>Horas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</si>
  <si>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</si>
  <si>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</si>
  <si>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</si>
  <si>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</si>
  <si>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</si>
  <si>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</si>
  <si>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</si>
  <si>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</si>
  <si>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</si>
  <si>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</si>
  <si>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</si>
  <si>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</si>
  <si>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TOTAL</t>
  </si>
  <si>
    <t>Sobrante</t>
  </si>
  <si>
    <t>Vacaciones (23)</t>
  </si>
  <si>
    <t>Recuperar</t>
  </si>
  <si>
    <t>Días</t>
  </si>
  <si>
    <t>Vacaciones (J.V):</t>
  </si>
  <si>
    <t>Parte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</si>
</sst>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F400]h:mm:ss\ AM/PM"/>
  </numFmts>
  <fonts count="80" x14ac:knownFonts="1"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sz val="8"/>
      <color rgb="FF800000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  <font>
      <i/>
      <sz val="8"/>
      <color rgb="FF000000"/>
      <name val="Arial"/>
      <family val="2"/>
    </font>
    <font>
      <b/>
      <sz val="14"/>
      <color rgb="FFFF0000"/>
      <name val="Arial"/>
      <family val="2"/>
    </font>
    <font>
      <b/>
      <sz val="10"/>
      <color rgb="FF000000"/>
      <name val="Arial"/>
      <family val="2"/>
    </font>
    <font>
      <sz val="8"/>
      <color rgb="FF0000FF"/>
      <name val="Arial"/>
      <family val="2"/>
    </font>
    <font>
      <b/>
      <i/>
      <sz val="8"/>
      <color rgb="FFC00000"/>
      <name val="Arial"/>
      <family val="2"/>
    </font>
    <font>
      <sz val="11"/>
      <color rgb="FF006100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Arial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rgb="FF006100"/>
      <name val="Arial"/>
      <family val="2"/>
    </font>
    <font>
      <sz val="9"/>
      <name val="Arial"/>
      <family val="2"/>
    </font>
    <font>
      <b/>
      <sz val="8"/>
      <color rgb="FF006100"/>
      <name val="Calibri"/>
      <family val="2"/>
    </font>
    <font>
      <u/>
      <sz val="10"/>
      <color theme="10"/>
      <name val="Arial"/>
      <family val="2"/>
    </font>
    <font>
      <sz val="8"/>
      <color rgb="FF006100"/>
      <name val="Calibri"/>
      <family val="2"/>
    </font>
    <font>
      <b/>
      <sz val="8"/>
      <color rgb="FF006100"/>
      <name val="Arial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  <scheme val="minor"/>
    </font>
    <font>
      <sz val="10"/>
      <color rgb="FFFF0000"/>
      <name val="Arial"/>
      <family val="2"/>
    </font>
    <font>
      <sz val="11"/>
      <color theme="0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000000"/>
      <name val="Calibri"/>
      <family val="2"/>
      <scheme val="minor"/>
    </font>
    <font>
      <sz val="8"/>
      <color rgb="FF9C0006"/>
      <name val="Calibri"/>
      <family val="2"/>
      <scheme val="minor"/>
    </font>
    <font>
      <b/>
      <sz val="8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8"/>
      <color theme="3"/>
      <name val="Arial"/>
      <family val="2"/>
    </font>
    <font>
      <b/>
      <sz val="8"/>
      <color theme="3"/>
      <name val="Arial"/>
      <family val="2"/>
    </font>
    <font>
      <sz val="8"/>
      <color theme="3" tint="-0.249977111117893"/>
      <name val="Arial"/>
      <family val="2"/>
    </font>
    <font>
      <b/>
      <sz val="8"/>
      <color theme="3" tint="-0.249977111117893"/>
      <name val="Arial"/>
      <family val="2"/>
    </font>
    <font>
      <sz val="8"/>
      <color rgb="FF002060"/>
      <name val="Arial"/>
      <family val="2"/>
    </font>
    <font>
      <b/>
      <sz val="8"/>
      <color rgb="FF002060"/>
      <name val="Arial"/>
      <family val="2"/>
    </font>
    <font>
      <b/>
      <sz val="11"/>
      <name val="Calibri"/>
      <family val="2"/>
      <scheme val="minor"/>
    </font>
    <font>
      <b/>
      <sz val="8"/>
      <color theme="4" tint="0.59999389629810485"/>
      <name val="Arial"/>
      <family val="2"/>
    </font>
    <font>
      <sz val="8"/>
      <color theme="4" tint="0.39997558519241921"/>
      <name val="Arial"/>
      <family val="2"/>
    </font>
    <font>
      <b/>
      <sz val="8"/>
      <color theme="4" tint="0.39997558519241921"/>
      <name val="Arial"/>
      <family val="2"/>
    </font>
    <font>
      <sz val="8"/>
      <color theme="4" tint="0.59999389629810485"/>
      <name val="Arial"/>
      <family val="2"/>
    </font>
    <font>
      <sz val="8"/>
      <color theme="1"/>
      <name val="Arial"/>
      <family val="2"/>
    </font>
    <font>
      <sz val="8"/>
      <color rgb="FF006100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name val="Calibri"/>
      <family val="2"/>
      <scheme val="minor"/>
    </font>
    <font>
      <sz val="8"/>
      <color theme="4" tint="-0.249977111117893"/>
      <name val="Arial"/>
      <family val="2"/>
    </font>
    <font>
      <b/>
      <sz val="8"/>
      <color theme="4" tint="-0.249977111117893"/>
      <name val="Arial"/>
      <family val="2"/>
    </font>
    <font>
      <b/>
      <i/>
      <sz val="10"/>
      <color theme="4" tint="0.79998168889431442"/>
      <name val="Calibri"/>
      <family val="2"/>
      <scheme val="minor"/>
    </font>
    <font>
      <b/>
      <i/>
      <sz val="11"/>
      <color theme="2"/>
      <name val="Calibri"/>
      <family val="2"/>
      <scheme val="minor"/>
    </font>
    <font>
      <b/>
      <i/>
      <sz val="10"/>
      <color theme="6" tint="-0.499984740745262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theme="6" tint="-0.499984740745262"/>
      <name val="Arial"/>
      <family val="2"/>
    </font>
    <font>
      <b/>
      <i/>
      <sz val="10"/>
      <color theme="3" tint="-0.249977111117893"/>
      <name val="Arial"/>
      <family val="2"/>
    </font>
    <font>
      <sz val="12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9"/>
      <color rgb="FF00206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22"/>
        <bgColor indexed="2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rgb="FFFFFFFF"/>
      </patternFill>
    </fill>
    <fill>
      <patternFill patternType="solid">
        <fgColor theme="6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rgb="FFFFFFFF"/>
      </patternFill>
    </fill>
    <fill>
      <patternFill patternType="solid">
        <fgColor rgb="FFFF5050"/>
        <bgColor indexed="64"/>
      </patternFill>
    </fill>
    <fill>
      <patternFill patternType="solid">
        <fgColor theme="0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3" tint="0.39994506668294322"/>
        <bgColor indexed="64"/>
      </patternFill>
    </fill>
    <fill>
      <patternFill patternType="solid">
        <fgColor indexed="9"/>
        <bgColor indexed="2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3">
    <xf numFmtId="0" fontId="0" fillId="0" borderId="0"/>
    <xf numFmtId="0" fontId="20" fillId="2" borderId="1" applyNumberFormat="0" applyFont="0" applyAlignment="0" applyProtection="0"/>
    <xf numFmtId="0" fontId="17" fillId="3" borderId="2" applyNumberFormat="0" applyBorder="0" applyAlignment="0" applyProtection="0"/>
    <xf numFmtId="0" fontId="18" fillId="4" borderId="3" applyNumberFormat="0" applyBorder="0" applyAlignment="0" applyProtection="0"/>
    <xf numFmtId="0" fontId="19" fillId="5" borderId="4" applyNumberFormat="0" applyAlignment="0" applyProtection="0"/>
    <xf numFmtId="0" fontId="6" fillId="37" borderId="0" applyNumberFormat="0" applyBorder="0" applyAlignment="0" applyProtection="0"/>
    <xf numFmtId="0" fontId="5" fillId="0" borderId="16"/>
    <xf numFmtId="0" fontId="27" fillId="39" borderId="16" applyNumberFormat="0" applyBorder="0" applyAlignment="0" applyProtection="0"/>
    <xf numFmtId="0" fontId="5" fillId="37" borderId="16" applyNumberFormat="0" applyBorder="0" applyAlignment="0" applyProtection="0"/>
    <xf numFmtId="0" fontId="4" fillId="0" borderId="16"/>
    <xf numFmtId="0" fontId="20" fillId="0" borderId="16"/>
    <xf numFmtId="0" fontId="17" fillId="3" borderId="16" applyNumberFormat="0" applyBorder="0" applyAlignment="0" applyProtection="0"/>
    <xf numFmtId="0" fontId="18" fillId="4" borderId="16" applyNumberFormat="0" applyBorder="0" applyAlignment="0" applyProtection="0"/>
    <xf numFmtId="0" fontId="3" fillId="37" borderId="16" applyNumberFormat="0" applyBorder="0" applyAlignment="0" applyProtection="0"/>
    <xf numFmtId="0" fontId="3" fillId="0" borderId="16"/>
    <xf numFmtId="0" fontId="3" fillId="37" borderId="16" applyNumberFormat="0" applyBorder="0" applyAlignment="0" applyProtection="0"/>
    <xf numFmtId="0" fontId="28" fillId="40" borderId="16" applyNumberFormat="0" applyBorder="0" applyAlignment="0" applyProtection="0"/>
    <xf numFmtId="0" fontId="3" fillId="41" borderId="16" applyNumberFormat="0" applyBorder="0" applyAlignment="0" applyProtection="0"/>
    <xf numFmtId="0" fontId="37" fillId="0" borderId="0" applyNumberFormat="0" applyFill="0" applyBorder="0" applyAlignment="0" applyProtection="0"/>
    <xf numFmtId="0" fontId="17" fillId="3" borderId="16" applyNumberFormat="0" applyBorder="0" applyAlignment="0" applyProtection="0"/>
    <xf numFmtId="0" fontId="44" fillId="43" borderId="0" applyNumberFormat="0" applyBorder="0" applyAlignment="0" applyProtection="0"/>
    <xf numFmtId="0" fontId="2" fillId="37" borderId="16" applyNumberFormat="0" applyBorder="0" applyAlignment="0" applyProtection="0"/>
    <xf numFmtId="0" fontId="1" fillId="44" borderId="0" applyNumberFormat="0" applyBorder="0" applyAlignment="0" applyProtection="0"/>
  </cellStyleXfs>
  <cellXfs count="748">
    <xf numFmtId="0" fontId="0" fillId="0" borderId="0" xfId="0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3" fillId="0" borderId="0" xfId="0" applyFont="1" applyAlignment="1">
      <alignment vertical="center"/>
    </xf>
    <xf numFmtId="46" fontId="0" fillId="0" borderId="0" xfId="0" applyNumberFormat="1" applyAlignment="1">
      <alignment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/>
    </xf>
    <xf numFmtId="20" fontId="7" fillId="0" borderId="9" xfId="0" applyNumberFormat="1" applyFont="1" applyBorder="1" applyAlignment="1">
      <alignment horizontal="center" vertical="center"/>
    </xf>
    <xf numFmtId="20" fontId="7" fillId="0" borderId="7" xfId="0" applyNumberFormat="1" applyFont="1" applyBorder="1"/>
    <xf numFmtId="20" fontId="7" fillId="0" borderId="9" xfId="0" applyNumberFormat="1" applyFont="1" applyBorder="1"/>
    <xf numFmtId="20" fontId="7" fillId="0" borderId="0" xfId="0" applyNumberFormat="1" applyFont="1" applyAlignment="1">
      <alignment vertical="center"/>
    </xf>
    <xf numFmtId="0" fontId="7" fillId="0" borderId="6" xfId="0" applyFont="1" applyBorder="1" applyAlignment="1">
      <alignment vertical="center"/>
    </xf>
    <xf numFmtId="1" fontId="0" fillId="0" borderId="0" xfId="0" applyNumberFormat="1" applyAlignment="1">
      <alignment vertical="center"/>
    </xf>
    <xf numFmtId="0" fontId="7" fillId="17" borderId="1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7" fillId="19" borderId="12" xfId="0" applyFont="1" applyFill="1" applyBorder="1" applyAlignment="1">
      <alignment vertical="center"/>
    </xf>
    <xf numFmtId="46" fontId="0" fillId="20" borderId="13" xfId="0" applyNumberFormat="1" applyFill="1" applyBorder="1" applyAlignment="1">
      <alignment horizontal="right" vertical="center"/>
    </xf>
    <xf numFmtId="164" fontId="0" fillId="21" borderId="14" xfId="0" applyNumberFormat="1" applyFill="1" applyBorder="1" applyAlignment="1">
      <alignment vertical="center"/>
    </xf>
    <xf numFmtId="0" fontId="0" fillId="22" borderId="15" xfId="0" applyFill="1" applyBorder="1" applyAlignment="1">
      <alignment vertical="center"/>
    </xf>
    <xf numFmtId="0" fontId="14" fillId="20" borderId="13" xfId="0" applyFont="1" applyFill="1" applyBorder="1" applyAlignment="1">
      <alignment horizontal="right" vertical="center"/>
    </xf>
    <xf numFmtId="46" fontId="0" fillId="20" borderId="13" xfId="0" applyNumberFormat="1" applyFill="1" applyBorder="1" applyAlignment="1">
      <alignment vertical="center"/>
    </xf>
    <xf numFmtId="164" fontId="14" fillId="21" borderId="14" xfId="0" applyNumberFormat="1" applyFont="1" applyFill="1" applyBorder="1" applyAlignment="1">
      <alignment vertical="center"/>
    </xf>
    <xf numFmtId="0" fontId="0" fillId="21" borderId="14" xfId="0" applyFill="1" applyBorder="1" applyAlignment="1">
      <alignment vertical="center"/>
    </xf>
    <xf numFmtId="46" fontId="14" fillId="20" borderId="13" xfId="0" applyNumberFormat="1" applyFont="1" applyFill="1" applyBorder="1" applyAlignment="1">
      <alignment vertical="center"/>
    </xf>
    <xf numFmtId="20" fontId="0" fillId="20" borderId="13" xfId="0" applyNumberFormat="1" applyFill="1" applyBorder="1" applyAlignment="1">
      <alignment vertical="center"/>
    </xf>
    <xf numFmtId="0" fontId="14" fillId="20" borderId="13" xfId="0" applyFont="1" applyFill="1" applyBorder="1" applyAlignment="1">
      <alignment vertical="center"/>
    </xf>
    <xf numFmtId="46" fontId="0" fillId="21" borderId="14" xfId="0" applyNumberFormat="1" applyFill="1" applyBorder="1" applyAlignment="1">
      <alignment horizontal="right"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8" fillId="25" borderId="20" xfId="0" applyFont="1" applyFill="1" applyBorder="1" applyAlignment="1">
      <alignment horizontal="left" vertical="center"/>
    </xf>
    <xf numFmtId="0" fontId="8" fillId="26" borderId="21" xfId="0" applyFont="1" applyFill="1" applyBorder="1" applyAlignment="1">
      <alignment horizontal="left" vertical="center"/>
    </xf>
    <xf numFmtId="0" fontId="8" fillId="27" borderId="22" xfId="0" applyFont="1" applyFill="1" applyBorder="1" applyAlignment="1">
      <alignment horizontal="left" vertical="center"/>
    </xf>
    <xf numFmtId="20" fontId="7" fillId="0" borderId="0" xfId="0" applyNumberFormat="1" applyFont="1"/>
    <xf numFmtId="0" fontId="0" fillId="0" borderId="16" xfId="0" applyBorder="1" applyAlignment="1">
      <alignment vertical="center"/>
    </xf>
    <xf numFmtId="1" fontId="0" fillId="23" borderId="29" xfId="0" applyNumberFormat="1" applyFill="1" applyBorder="1" applyAlignment="1">
      <alignment vertical="center"/>
    </xf>
    <xf numFmtId="1" fontId="0" fillId="24" borderId="30" xfId="0" applyNumberFormat="1" applyFill="1" applyBorder="1" applyAlignment="1">
      <alignment vertical="center"/>
    </xf>
    <xf numFmtId="1" fontId="0" fillId="23" borderId="38" xfId="0" applyNumberFormat="1" applyFill="1" applyBorder="1" applyAlignment="1">
      <alignment vertical="center"/>
    </xf>
    <xf numFmtId="1" fontId="0" fillId="24" borderId="39" xfId="0" applyNumberFormat="1" applyFill="1" applyBorder="1" applyAlignment="1">
      <alignment vertical="center"/>
    </xf>
    <xf numFmtId="1" fontId="0" fillId="0" borderId="16" xfId="0" applyNumberFormat="1" applyBorder="1" applyAlignment="1">
      <alignment vertical="center"/>
    </xf>
    <xf numFmtId="14" fontId="12" fillId="13" borderId="23" xfId="0" applyNumberFormat="1" applyFont="1" applyFill="1" applyBorder="1" applyAlignment="1">
      <alignment horizontal="left" vertical="center"/>
    </xf>
    <xf numFmtId="0" fontId="7" fillId="14" borderId="16" xfId="0" applyFont="1" applyFill="1" applyBorder="1" applyAlignment="1">
      <alignment vertical="center"/>
    </xf>
    <xf numFmtId="20" fontId="7" fillId="14" borderId="16" xfId="0" applyNumberFormat="1" applyFont="1" applyFill="1" applyBorder="1" applyAlignment="1">
      <alignment vertical="center"/>
    </xf>
    <xf numFmtId="20" fontId="10" fillId="15" borderId="17" xfId="0" applyNumberFormat="1" applyFont="1" applyFill="1" applyBorder="1" applyAlignment="1">
      <alignment vertical="center"/>
    </xf>
    <xf numFmtId="46" fontId="0" fillId="0" borderId="16" xfId="0" applyNumberFormat="1" applyBorder="1" applyAlignment="1">
      <alignment vertical="center"/>
    </xf>
    <xf numFmtId="0" fontId="8" fillId="10" borderId="37" xfId="0" applyFont="1" applyFill="1" applyBorder="1" applyAlignment="1">
      <alignment horizontal="left" vertical="center"/>
    </xf>
    <xf numFmtId="0" fontId="7" fillId="11" borderId="38" xfId="0" applyFont="1" applyFill="1" applyBorder="1" applyAlignment="1">
      <alignment vertical="center"/>
    </xf>
    <xf numFmtId="46" fontId="8" fillId="11" borderId="38" xfId="0" applyNumberFormat="1" applyFont="1" applyFill="1" applyBorder="1" applyAlignment="1">
      <alignment vertical="center"/>
    </xf>
    <xf numFmtId="46" fontId="8" fillId="12" borderId="39" xfId="0" applyNumberFormat="1" applyFont="1" applyFill="1" applyBorder="1" applyAlignment="1">
      <alignment vertical="center"/>
    </xf>
    <xf numFmtId="20" fontId="0" fillId="0" borderId="0" xfId="0" applyNumberFormat="1" applyAlignment="1">
      <alignment vertical="center"/>
    </xf>
    <xf numFmtId="164" fontId="23" fillId="0" borderId="0" xfId="0" applyNumberFormat="1" applyFont="1" applyAlignment="1">
      <alignment horizontal="center" vertical="center"/>
    </xf>
    <xf numFmtId="20" fontId="30" fillId="0" borderId="16" xfId="0" applyNumberFormat="1" applyFont="1" applyBorder="1" applyAlignment="1">
      <alignment horizontal="right" vertical="center"/>
    </xf>
    <xf numFmtId="0" fontId="30" fillId="0" borderId="16" xfId="0" applyFont="1" applyBorder="1" applyAlignment="1">
      <alignment horizontal="center" vertical="center"/>
    </xf>
    <xf numFmtId="1" fontId="31" fillId="0" borderId="16" xfId="0" applyNumberFormat="1" applyFont="1" applyBorder="1" applyAlignment="1">
      <alignment vertical="center"/>
    </xf>
    <xf numFmtId="46" fontId="32" fillId="0" borderId="41" xfId="1" applyNumberFormat="1" applyFont="1" applyFill="1" applyBorder="1" applyAlignment="1">
      <alignment horizontal="center" vertical="center"/>
    </xf>
    <xf numFmtId="0" fontId="16" fillId="38" borderId="42" xfId="0" applyFont="1" applyFill="1" applyBorder="1" applyAlignment="1">
      <alignment horizontal="center" vertical="center"/>
    </xf>
    <xf numFmtId="1" fontId="29" fillId="0" borderId="50" xfId="0" applyNumberFormat="1" applyFont="1" applyBorder="1" applyAlignment="1">
      <alignment vertical="center"/>
    </xf>
    <xf numFmtId="0" fontId="29" fillId="0" borderId="50" xfId="0" applyFont="1" applyBorder="1" applyAlignment="1">
      <alignment vertical="center"/>
    </xf>
    <xf numFmtId="0" fontId="32" fillId="0" borderId="50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1" fontId="29" fillId="0" borderId="53" xfId="0" applyNumberFormat="1" applyFont="1" applyBorder="1" applyAlignment="1">
      <alignment vertical="center"/>
    </xf>
    <xf numFmtId="0" fontId="29" fillId="0" borderId="53" xfId="0" applyFont="1" applyBorder="1" applyAlignment="1">
      <alignment vertical="center"/>
    </xf>
    <xf numFmtId="46" fontId="22" fillId="37" borderId="38" xfId="5" applyNumberFormat="1" applyFont="1" applyBorder="1" applyAlignment="1">
      <alignment vertical="center"/>
    </xf>
    <xf numFmtId="46" fontId="24" fillId="37" borderId="41" xfId="5" applyNumberFormat="1" applyFont="1" applyBorder="1" applyAlignment="1">
      <alignment vertical="center" wrapText="1"/>
    </xf>
    <xf numFmtId="0" fontId="30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20" fontId="11" fillId="36" borderId="16" xfId="10" applyNumberFormat="1" applyFont="1" applyFill="1" applyAlignment="1">
      <alignment vertical="center"/>
    </xf>
    <xf numFmtId="46" fontId="20" fillId="36" borderId="16" xfId="10" applyNumberFormat="1" applyFill="1" applyAlignment="1">
      <alignment horizontal="right" vertical="center"/>
    </xf>
    <xf numFmtId="14" fontId="5" fillId="37" borderId="59" xfId="8" applyNumberFormat="1" applyBorder="1" applyAlignment="1">
      <alignment horizontal="left" vertical="center"/>
    </xf>
    <xf numFmtId="20" fontId="38" fillId="42" borderId="47" xfId="19" applyNumberFormat="1" applyFont="1" applyFill="1" applyBorder="1" applyAlignment="1">
      <alignment horizontal="right" vertical="center"/>
    </xf>
    <xf numFmtId="1" fontId="38" fillId="42" borderId="48" xfId="19" applyNumberFormat="1" applyFont="1" applyFill="1" applyBorder="1" applyAlignment="1">
      <alignment vertical="center"/>
    </xf>
    <xf numFmtId="0" fontId="38" fillId="42" borderId="48" xfId="19" applyFont="1" applyFill="1" applyBorder="1" applyAlignment="1">
      <alignment vertical="center"/>
    </xf>
    <xf numFmtId="46" fontId="38" fillId="42" borderId="48" xfId="19" applyNumberFormat="1" applyFont="1" applyFill="1" applyBorder="1" applyAlignment="1">
      <alignment horizontal="center" vertical="center"/>
    </xf>
    <xf numFmtId="0" fontId="36" fillId="42" borderId="43" xfId="19" applyFont="1" applyFill="1" applyBorder="1" applyAlignment="1">
      <alignment vertical="center" wrapText="1"/>
    </xf>
    <xf numFmtId="14" fontId="21" fillId="37" borderId="41" xfId="5" applyNumberFormat="1" applyFont="1" applyBorder="1" applyAlignment="1">
      <alignment horizontal="center" vertical="center"/>
    </xf>
    <xf numFmtId="20" fontId="38" fillId="42" borderId="46" xfId="19" applyNumberFormat="1" applyFont="1" applyFill="1" applyBorder="1" applyAlignment="1">
      <alignment horizontal="right" vertical="center"/>
    </xf>
    <xf numFmtId="20" fontId="38" fillId="42" borderId="44" xfId="19" applyNumberFormat="1" applyFont="1" applyFill="1" applyBorder="1" applyAlignment="1">
      <alignment horizontal="right" vertical="center"/>
    </xf>
    <xf numFmtId="20" fontId="38" fillId="42" borderId="64" xfId="19" applyNumberFormat="1" applyFont="1" applyFill="1" applyBorder="1" applyAlignment="1">
      <alignment horizontal="right" vertical="center"/>
    </xf>
    <xf numFmtId="14" fontId="5" fillId="37" borderId="65" xfId="8" applyNumberFormat="1" applyBorder="1" applyAlignment="1">
      <alignment horizontal="left" vertical="center"/>
    </xf>
    <xf numFmtId="14" fontId="21" fillId="37" borderId="42" xfId="5" applyNumberFormat="1" applyFont="1" applyBorder="1" applyAlignment="1">
      <alignment horizontal="center" vertical="center"/>
    </xf>
    <xf numFmtId="164" fontId="6" fillId="37" borderId="41" xfId="5" applyNumberFormat="1" applyBorder="1" applyAlignment="1">
      <alignment horizontal="center" vertical="center"/>
    </xf>
    <xf numFmtId="14" fontId="5" fillId="37" borderId="41" xfId="8" applyNumberFormat="1" applyBorder="1" applyAlignment="1">
      <alignment horizontal="left" vertical="center"/>
    </xf>
    <xf numFmtId="46" fontId="42" fillId="0" borderId="0" xfId="0" applyNumberFormat="1" applyFont="1" applyAlignment="1">
      <alignment vertical="center"/>
    </xf>
    <xf numFmtId="1" fontId="34" fillId="3" borderId="51" xfId="19" applyNumberFormat="1" applyFont="1" applyBorder="1" applyAlignment="1">
      <alignment vertical="center"/>
    </xf>
    <xf numFmtId="0" fontId="34" fillId="3" borderId="51" xfId="19" applyFont="1" applyBorder="1" applyAlignment="1">
      <alignment vertical="center"/>
    </xf>
    <xf numFmtId="0" fontId="10" fillId="0" borderId="52" xfId="0" applyFont="1" applyBorder="1" applyAlignment="1">
      <alignment vertical="center"/>
    </xf>
    <xf numFmtId="0" fontId="10" fillId="0" borderId="54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41" xfId="0" applyFont="1" applyBorder="1" applyAlignment="1">
      <alignment horizontal="right" vertical="center"/>
    </xf>
    <xf numFmtId="0" fontId="10" fillId="0" borderId="39" xfId="0" applyFont="1" applyBorder="1" applyAlignment="1">
      <alignment horizontal="center" vertical="center"/>
    </xf>
    <xf numFmtId="1" fontId="40" fillId="42" borderId="67" xfId="19" applyNumberFormat="1" applyFont="1" applyFill="1" applyBorder="1" applyAlignment="1">
      <alignment vertical="center"/>
    </xf>
    <xf numFmtId="0" fontId="40" fillId="42" borderId="67" xfId="19" applyFont="1" applyFill="1" applyBorder="1" applyAlignment="1">
      <alignment vertical="center"/>
    </xf>
    <xf numFmtId="0" fontId="41" fillId="42" borderId="57" xfId="19" applyFont="1" applyFill="1" applyBorder="1" applyAlignment="1">
      <alignment vertical="center" wrapText="1"/>
    </xf>
    <xf numFmtId="1" fontId="34" fillId="0" borderId="51" xfId="19" applyNumberFormat="1" applyFont="1" applyFill="1" applyBorder="1" applyAlignment="1">
      <alignment vertical="center"/>
    </xf>
    <xf numFmtId="0" fontId="34" fillId="0" borderId="51" xfId="19" applyFont="1" applyFill="1" applyBorder="1" applyAlignment="1">
      <alignment vertical="center"/>
    </xf>
    <xf numFmtId="0" fontId="39" fillId="0" borderId="40" xfId="19" applyFont="1" applyFill="1" applyBorder="1" applyAlignment="1">
      <alignment vertical="center" wrapText="1"/>
    </xf>
    <xf numFmtId="1" fontId="34" fillId="0" borderId="48" xfId="19" applyNumberFormat="1" applyFont="1" applyFill="1" applyBorder="1" applyAlignment="1">
      <alignment vertical="center"/>
    </xf>
    <xf numFmtId="0" fontId="34" fillId="0" borderId="48" xfId="19" applyFont="1" applyFill="1" applyBorder="1" applyAlignment="1">
      <alignment vertical="center"/>
    </xf>
    <xf numFmtId="0" fontId="39" fillId="0" borderId="43" xfId="19" applyFont="1" applyFill="1" applyBorder="1" applyAlignment="1">
      <alignment vertical="center" wrapText="1"/>
    </xf>
    <xf numFmtId="1" fontId="40" fillId="0" borderId="51" xfId="19" applyNumberFormat="1" applyFont="1" applyFill="1" applyBorder="1" applyAlignment="1">
      <alignment vertical="center"/>
    </xf>
    <xf numFmtId="0" fontId="40" fillId="0" borderId="51" xfId="19" applyFont="1" applyFill="1" applyBorder="1" applyAlignment="1">
      <alignment vertical="center"/>
    </xf>
    <xf numFmtId="0" fontId="46" fillId="0" borderId="0" xfId="0" applyFont="1" applyAlignment="1">
      <alignment vertical="center"/>
    </xf>
    <xf numFmtId="0" fontId="9" fillId="28" borderId="70" xfId="0" applyFont="1" applyFill="1" applyBorder="1" applyAlignment="1">
      <alignment horizontal="center" vertical="center"/>
    </xf>
    <xf numFmtId="0" fontId="9" fillId="28" borderId="58" xfId="0" applyFont="1" applyFill="1" applyBorder="1" applyAlignment="1">
      <alignment horizontal="center" vertical="center"/>
    </xf>
    <xf numFmtId="20" fontId="47" fillId="40" borderId="46" xfId="16" applyNumberFormat="1" applyFont="1" applyBorder="1" applyAlignment="1">
      <alignment horizontal="right" vertical="center"/>
    </xf>
    <xf numFmtId="20" fontId="47" fillId="40" borderId="44" xfId="16" applyNumberFormat="1" applyFont="1" applyBorder="1" applyAlignment="1">
      <alignment horizontal="right" vertical="center"/>
    </xf>
    <xf numFmtId="20" fontId="47" fillId="40" borderId="64" xfId="16" applyNumberFormat="1" applyFont="1" applyBorder="1" applyAlignment="1">
      <alignment horizontal="right" vertical="center"/>
    </xf>
    <xf numFmtId="0" fontId="47" fillId="40" borderId="57" xfId="16" applyFont="1" applyBorder="1" applyAlignment="1">
      <alignment vertical="center"/>
    </xf>
    <xf numFmtId="46" fontId="48" fillId="40" borderId="41" xfId="16" applyNumberFormat="1" applyFont="1" applyBorder="1" applyAlignment="1">
      <alignment vertical="center"/>
    </xf>
    <xf numFmtId="0" fontId="45" fillId="0" borderId="64" xfId="19" applyFont="1" applyFill="1" applyBorder="1" applyAlignment="1">
      <alignment vertical="center" wrapText="1"/>
    </xf>
    <xf numFmtId="0" fontId="26" fillId="43" borderId="55" xfId="20" applyFont="1" applyBorder="1" applyAlignment="1">
      <alignment vertical="center" wrapText="1"/>
    </xf>
    <xf numFmtId="20" fontId="7" fillId="0" borderId="16" xfId="10" applyNumberFormat="1" applyFont="1"/>
    <xf numFmtId="20" fontId="7" fillId="0" borderId="16" xfId="10" applyNumberFormat="1" applyFont="1" applyAlignment="1">
      <alignment vertical="center"/>
    </xf>
    <xf numFmtId="0" fontId="7" fillId="0" borderId="16" xfId="10" applyFont="1" applyAlignment="1">
      <alignment vertical="center"/>
    </xf>
    <xf numFmtId="0" fontId="9" fillId="28" borderId="61" xfId="10" applyFont="1" applyFill="1" applyBorder="1" applyAlignment="1">
      <alignment horizontal="center" vertical="center"/>
    </xf>
    <xf numFmtId="0" fontId="9" fillId="28" borderId="55" xfId="10" applyFont="1" applyFill="1" applyBorder="1" applyAlignment="1">
      <alignment horizontal="center" vertical="center"/>
    </xf>
    <xf numFmtId="0" fontId="9" fillId="28" borderId="56" xfId="10" applyFont="1" applyFill="1" applyBorder="1" applyAlignment="1">
      <alignment horizontal="center" vertical="center"/>
    </xf>
    <xf numFmtId="20" fontId="2" fillId="37" borderId="56" xfId="21" applyNumberFormat="1" applyBorder="1" applyAlignment="1">
      <alignment vertical="center"/>
    </xf>
    <xf numFmtId="20" fontId="15" fillId="36" borderId="56" xfId="0" applyNumberFormat="1" applyFont="1" applyFill="1" applyBorder="1" applyAlignment="1">
      <alignment vertical="center"/>
    </xf>
    <xf numFmtId="20" fontId="15" fillId="36" borderId="36" xfId="0" applyNumberFormat="1" applyFont="1" applyFill="1" applyBorder="1" applyAlignment="1">
      <alignment vertical="center"/>
    </xf>
    <xf numFmtId="0" fontId="2" fillId="37" borderId="37" xfId="21" applyBorder="1" applyAlignment="1">
      <alignment vertical="center"/>
    </xf>
    <xf numFmtId="0" fontId="2" fillId="37" borderId="39" xfId="21" applyBorder="1" applyAlignment="1">
      <alignment vertical="center"/>
    </xf>
    <xf numFmtId="0" fontId="2" fillId="37" borderId="73" xfId="21" applyBorder="1" applyAlignment="1">
      <alignment vertical="center"/>
    </xf>
    <xf numFmtId="0" fontId="2" fillId="37" borderId="74" xfId="21" applyBorder="1" applyAlignment="1">
      <alignment vertical="center"/>
    </xf>
    <xf numFmtId="20" fontId="2" fillId="37" borderId="75" xfId="21" applyNumberFormat="1" applyBorder="1" applyAlignment="1">
      <alignment vertical="center"/>
    </xf>
    <xf numFmtId="0" fontId="2" fillId="37" borderId="76" xfId="21" applyBorder="1" applyAlignment="1">
      <alignment vertical="center"/>
    </xf>
    <xf numFmtId="0" fontId="2" fillId="37" borderId="32" xfId="21" applyBorder="1" applyAlignment="1">
      <alignment vertical="center"/>
    </xf>
    <xf numFmtId="0" fontId="2" fillId="37" borderId="33" xfId="21" applyBorder="1" applyAlignment="1">
      <alignment vertical="center"/>
    </xf>
    <xf numFmtId="164" fontId="2" fillId="37" borderId="37" xfId="21" applyNumberFormat="1" applyBorder="1" applyAlignment="1">
      <alignment horizontal="center" vertical="center"/>
    </xf>
    <xf numFmtId="164" fontId="2" fillId="37" borderId="39" xfId="21" applyNumberFormat="1" applyBorder="1" applyAlignment="1">
      <alignment horizontal="center" vertical="center"/>
    </xf>
    <xf numFmtId="46" fontId="21" fillId="37" borderId="37" xfId="21" applyNumberFormat="1" applyFont="1" applyBorder="1" applyAlignment="1">
      <alignment vertical="center"/>
    </xf>
    <xf numFmtId="46" fontId="21" fillId="37" borderId="39" xfId="21" applyNumberFormat="1" applyFont="1" applyBorder="1" applyAlignment="1">
      <alignment vertical="center"/>
    </xf>
    <xf numFmtId="46" fontId="20" fillId="0" borderId="16" xfId="10" applyNumberFormat="1" applyAlignment="1">
      <alignment vertical="center"/>
    </xf>
    <xf numFmtId="164" fontId="20" fillId="0" borderId="16" xfId="10" applyNumberFormat="1" applyAlignment="1">
      <alignment vertical="center"/>
    </xf>
    <xf numFmtId="0" fontId="20" fillId="0" borderId="16" xfId="10" applyAlignment="1">
      <alignment vertical="center"/>
    </xf>
    <xf numFmtId="0" fontId="9" fillId="28" borderId="41" xfId="0" applyFont="1" applyFill="1" applyBorder="1" applyAlignment="1">
      <alignment horizontal="center" vertical="center"/>
    </xf>
    <xf numFmtId="46" fontId="7" fillId="36" borderId="48" xfId="0" applyNumberFormat="1" applyFont="1" applyFill="1" applyBorder="1" applyAlignment="1">
      <alignment horizontal="right" vertical="center"/>
    </xf>
    <xf numFmtId="20" fontId="47" fillId="40" borderId="60" xfId="16" applyNumberFormat="1" applyFont="1" applyBorder="1" applyAlignment="1">
      <alignment horizontal="right" vertical="center"/>
    </xf>
    <xf numFmtId="46" fontId="7" fillId="36" borderId="78" xfId="0" applyNumberFormat="1" applyFont="1" applyFill="1" applyBorder="1" applyAlignment="1">
      <alignment horizontal="right" vertical="center"/>
    </xf>
    <xf numFmtId="20" fontId="47" fillId="40" borderId="62" xfId="16" applyNumberFormat="1" applyFont="1" applyBorder="1" applyAlignment="1">
      <alignment horizontal="right" vertical="center"/>
    </xf>
    <xf numFmtId="46" fontId="7" fillId="36" borderId="77" xfId="0" applyNumberFormat="1" applyFont="1" applyFill="1" applyBorder="1" applyAlignment="1">
      <alignment horizontal="right" vertical="center"/>
    </xf>
    <xf numFmtId="46" fontId="7" fillId="36" borderId="80" xfId="0" applyNumberFormat="1" applyFont="1" applyFill="1" applyBorder="1" applyAlignment="1">
      <alignment horizontal="right" vertical="center"/>
    </xf>
    <xf numFmtId="20" fontId="47" fillId="40" borderId="63" xfId="16" applyNumberFormat="1" applyFont="1" applyBorder="1" applyAlignment="1">
      <alignment horizontal="right" vertical="center"/>
    </xf>
    <xf numFmtId="14" fontId="21" fillId="37" borderId="41" xfId="21" applyNumberFormat="1" applyFont="1" applyBorder="1" applyAlignment="1">
      <alignment horizontal="center" vertical="center"/>
    </xf>
    <xf numFmtId="0" fontId="22" fillId="37" borderId="56" xfId="21" applyFont="1" applyBorder="1" applyAlignment="1">
      <alignment vertical="center"/>
    </xf>
    <xf numFmtId="0" fontId="22" fillId="37" borderId="42" xfId="21" applyFont="1" applyBorder="1" applyAlignment="1">
      <alignment vertical="center"/>
    </xf>
    <xf numFmtId="14" fontId="2" fillId="37" borderId="65" xfId="21" applyNumberFormat="1" applyBorder="1" applyAlignment="1">
      <alignment horizontal="left" vertical="center"/>
    </xf>
    <xf numFmtId="0" fontId="22" fillId="37" borderId="57" xfId="21" applyFont="1" applyBorder="1" applyAlignment="1">
      <alignment vertical="center"/>
    </xf>
    <xf numFmtId="46" fontId="7" fillId="36" borderId="47" xfId="0" applyNumberFormat="1" applyFont="1" applyFill="1" applyBorder="1" applyAlignment="1">
      <alignment horizontal="right" vertical="center"/>
    </xf>
    <xf numFmtId="20" fontId="40" fillId="42" borderId="46" xfId="19" applyNumberFormat="1" applyFont="1" applyFill="1" applyBorder="1" applyAlignment="1">
      <alignment horizontal="right" vertical="center"/>
    </xf>
    <xf numFmtId="46" fontId="7" fillId="36" borderId="82" xfId="0" applyNumberFormat="1" applyFont="1" applyFill="1" applyBorder="1" applyAlignment="1">
      <alignment horizontal="right" vertical="center"/>
    </xf>
    <xf numFmtId="14" fontId="21" fillId="37" borderId="37" xfId="21" applyNumberFormat="1" applyFont="1" applyBorder="1" applyAlignment="1">
      <alignment horizontal="center" vertical="center"/>
    </xf>
    <xf numFmtId="0" fontId="22" fillId="0" borderId="57" xfId="21" applyFont="1" applyFill="1" applyBorder="1" applyAlignment="1">
      <alignment vertical="center"/>
    </xf>
    <xf numFmtId="10" fontId="8" fillId="0" borderId="0" xfId="0" applyNumberFormat="1" applyFont="1" applyAlignment="1">
      <alignment vertical="center"/>
    </xf>
    <xf numFmtId="9" fontId="8" fillId="0" borderId="16" xfId="0" applyNumberFormat="1" applyFont="1" applyBorder="1" applyAlignment="1">
      <alignment vertical="center"/>
    </xf>
    <xf numFmtId="46" fontId="7" fillId="36" borderId="69" xfId="0" applyNumberFormat="1" applyFont="1" applyFill="1" applyBorder="1" applyAlignment="1">
      <alignment horizontal="right" vertical="center"/>
    </xf>
    <xf numFmtId="46" fontId="7" fillId="36" borderId="79" xfId="0" applyNumberFormat="1" applyFont="1" applyFill="1" applyBorder="1" applyAlignment="1">
      <alignment horizontal="right" vertical="center"/>
    </xf>
    <xf numFmtId="46" fontId="7" fillId="36" borderId="81" xfId="0" applyNumberFormat="1" applyFont="1" applyFill="1" applyBorder="1" applyAlignment="1">
      <alignment horizontal="right" vertical="center"/>
    </xf>
    <xf numFmtId="0" fontId="2" fillId="37" borderId="71" xfId="21" applyBorder="1" applyAlignment="1">
      <alignment horizontal="right" vertical="center"/>
    </xf>
    <xf numFmtId="0" fontId="2" fillId="37" borderId="72" xfId="21" applyBorder="1" applyAlignment="1">
      <alignment horizontal="right" vertical="center"/>
    </xf>
    <xf numFmtId="0" fontId="2" fillId="37" borderId="16" xfId="21" applyBorder="1" applyAlignment="1">
      <alignment horizontal="right" vertical="center"/>
    </xf>
    <xf numFmtId="0" fontId="2" fillId="37" borderId="56" xfId="21" applyBorder="1" applyAlignment="1">
      <alignment horizontal="right" vertical="center"/>
    </xf>
    <xf numFmtId="46" fontId="7" fillId="36" borderId="83" xfId="0" applyNumberFormat="1" applyFont="1" applyFill="1" applyBorder="1" applyAlignment="1">
      <alignment horizontal="right" vertical="center"/>
    </xf>
    <xf numFmtId="0" fontId="2" fillId="37" borderId="52" xfId="21" applyBorder="1" applyAlignment="1">
      <alignment horizontal="right" vertical="center"/>
    </xf>
    <xf numFmtId="0" fontId="2" fillId="37" borderId="53" xfId="21" applyBorder="1" applyAlignment="1">
      <alignment horizontal="right" vertical="center"/>
    </xf>
    <xf numFmtId="0" fontId="2" fillId="37" borderId="54" xfId="21" applyBorder="1" applyAlignment="1">
      <alignment horizontal="right" vertical="center"/>
    </xf>
    <xf numFmtId="46" fontId="7" fillId="36" borderId="66" xfId="0" applyNumberFormat="1" applyFont="1" applyFill="1" applyBorder="1" applyAlignment="1">
      <alignment horizontal="right" vertical="center"/>
    </xf>
    <xf numFmtId="46" fontId="7" fillId="36" borderId="67" xfId="0" applyNumberFormat="1" applyFont="1" applyFill="1" applyBorder="1" applyAlignment="1">
      <alignment horizontal="right" vertical="center"/>
    </xf>
    <xf numFmtId="46" fontId="7" fillId="36" borderId="36" xfId="0" applyNumberFormat="1" applyFont="1" applyFill="1" applyBorder="1" applyAlignment="1">
      <alignment horizontal="right" vertical="center"/>
    </xf>
    <xf numFmtId="0" fontId="9" fillId="28" borderId="37" xfId="0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4" xfId="0" applyBorder="1" applyAlignment="1">
      <alignment vertical="center"/>
    </xf>
    <xf numFmtId="0" fontId="9" fillId="28" borderId="42" xfId="10" applyFont="1" applyFill="1" applyBorder="1" applyAlignment="1">
      <alignment horizontal="left" vertical="center"/>
    </xf>
    <xf numFmtId="14" fontId="2" fillId="37" borderId="42" xfId="21" applyNumberFormat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9" fillId="28" borderId="49" xfId="0" applyFont="1" applyFill="1" applyBorder="1" applyAlignment="1">
      <alignment horizontal="center" vertical="center"/>
    </xf>
    <xf numFmtId="0" fontId="9" fillId="28" borderId="31" xfId="0" applyFont="1" applyFill="1" applyBorder="1" applyAlignment="1">
      <alignment horizontal="center" vertical="center"/>
    </xf>
    <xf numFmtId="0" fontId="9" fillId="28" borderId="33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0" fontId="22" fillId="37" borderId="41" xfId="21" applyFont="1" applyBorder="1" applyAlignment="1">
      <alignment vertical="center"/>
    </xf>
    <xf numFmtId="20" fontId="34" fillId="39" borderId="44" xfId="7" applyNumberFormat="1" applyFont="1" applyBorder="1" applyAlignment="1">
      <alignment horizontal="right" vertical="center"/>
    </xf>
    <xf numFmtId="0" fontId="26" fillId="43" borderId="16" xfId="20" applyFont="1" applyBorder="1" applyAlignment="1">
      <alignment vertical="center" wrapText="1"/>
    </xf>
    <xf numFmtId="1" fontId="29" fillId="0" borderId="16" xfId="0" applyNumberFormat="1" applyFont="1" applyBorder="1" applyAlignment="1">
      <alignment vertical="center"/>
    </xf>
    <xf numFmtId="46" fontId="8" fillId="0" borderId="16" xfId="10" applyNumberFormat="1" applyFont="1" applyAlignment="1">
      <alignment vertical="center"/>
    </xf>
    <xf numFmtId="0" fontId="9" fillId="28" borderId="42" xfId="0" applyFont="1" applyFill="1" applyBorder="1" applyAlignment="1">
      <alignment horizontal="center" vertical="center"/>
    </xf>
    <xf numFmtId="0" fontId="22" fillId="37" borderId="61" xfId="21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68" xfId="0" applyFont="1" applyBorder="1" applyAlignment="1">
      <alignment vertical="center"/>
    </xf>
    <xf numFmtId="14" fontId="21" fillId="37" borderId="57" xfId="5" applyNumberFormat="1" applyFont="1" applyBorder="1" applyAlignment="1">
      <alignment horizontal="center" vertical="center"/>
    </xf>
    <xf numFmtId="14" fontId="8" fillId="9" borderId="43" xfId="0" applyNumberFormat="1" applyFont="1" applyFill="1" applyBorder="1" applyAlignment="1">
      <alignment horizontal="left" vertical="center"/>
    </xf>
    <xf numFmtId="14" fontId="8" fillId="16" borderId="40" xfId="0" applyNumberFormat="1" applyFont="1" applyFill="1" applyBorder="1" applyAlignment="1">
      <alignment horizontal="left" vertical="center"/>
    </xf>
    <xf numFmtId="14" fontId="39" fillId="3" borderId="40" xfId="2" applyNumberFormat="1" applyFont="1" applyBorder="1" applyAlignment="1">
      <alignment horizontal="left" vertical="center"/>
    </xf>
    <xf numFmtId="20" fontId="34" fillId="39" borderId="62" xfId="7" applyNumberFormat="1" applyFont="1" applyBorder="1" applyAlignment="1">
      <alignment horizontal="right" vertical="center"/>
    </xf>
    <xf numFmtId="0" fontId="34" fillId="39" borderId="40" xfId="7" applyFont="1" applyBorder="1" applyAlignment="1">
      <alignment vertical="center"/>
    </xf>
    <xf numFmtId="1" fontId="34" fillId="3" borderId="67" xfId="19" applyNumberFormat="1" applyFont="1" applyBorder="1" applyAlignment="1">
      <alignment vertical="center"/>
    </xf>
    <xf numFmtId="0" fontId="34" fillId="3" borderId="67" xfId="19" applyFont="1" applyBorder="1" applyAlignment="1">
      <alignment vertical="center"/>
    </xf>
    <xf numFmtId="1" fontId="22" fillId="44" borderId="80" xfId="22" applyNumberFormat="1" applyFont="1" applyBorder="1" applyAlignment="1">
      <alignment vertical="center"/>
    </xf>
    <xf numFmtId="0" fontId="22" fillId="44" borderId="80" xfId="22" applyFont="1" applyBorder="1" applyAlignment="1">
      <alignment vertical="center"/>
    </xf>
    <xf numFmtId="1" fontId="34" fillId="3" borderId="48" xfId="19" applyNumberFormat="1" applyFont="1" applyBorder="1" applyAlignment="1">
      <alignment vertical="center"/>
    </xf>
    <xf numFmtId="0" fontId="34" fillId="3" borderId="48" xfId="19" applyFont="1" applyBorder="1" applyAlignment="1">
      <alignment vertical="center"/>
    </xf>
    <xf numFmtId="0" fontId="39" fillId="0" borderId="84" xfId="19" applyFont="1" applyFill="1" applyBorder="1" applyAlignment="1">
      <alignment vertical="center" wrapText="1"/>
    </xf>
    <xf numFmtId="14" fontId="8" fillId="9" borderId="87" xfId="0" applyNumberFormat="1" applyFont="1" applyFill="1" applyBorder="1" applyAlignment="1">
      <alignment horizontal="left" vertical="center"/>
    </xf>
    <xf numFmtId="20" fontId="34" fillId="39" borderId="43" xfId="7" applyNumberFormat="1" applyFont="1" applyBorder="1" applyAlignment="1">
      <alignment horizontal="right" vertical="center"/>
    </xf>
    <xf numFmtId="20" fontId="34" fillId="39" borderId="40" xfId="7" applyNumberFormat="1" applyFont="1" applyBorder="1" applyAlignment="1">
      <alignment horizontal="right" vertical="center"/>
    </xf>
    <xf numFmtId="164" fontId="22" fillId="44" borderId="68" xfId="22" applyNumberFormat="1" applyFont="1" applyBorder="1" applyAlignment="1">
      <alignment vertical="center" wrapText="1"/>
    </xf>
    <xf numFmtId="0" fontId="45" fillId="45" borderId="43" xfId="0" applyFont="1" applyFill="1" applyBorder="1" applyAlignment="1">
      <alignment vertical="center"/>
    </xf>
    <xf numFmtId="0" fontId="45" fillId="45" borderId="40" xfId="0" applyFont="1" applyFill="1" applyBorder="1" applyAlignment="1">
      <alignment vertical="center"/>
    </xf>
    <xf numFmtId="0" fontId="45" fillId="45" borderId="68" xfId="0" applyFont="1" applyFill="1" applyBorder="1" applyAlignment="1">
      <alignment vertical="center"/>
    </xf>
    <xf numFmtId="20" fontId="15" fillId="0" borderId="55" xfId="0" applyNumberFormat="1" applyFont="1" applyBorder="1" applyAlignment="1">
      <alignment vertical="center"/>
    </xf>
    <xf numFmtId="20" fontId="15" fillId="0" borderId="56" xfId="0" applyNumberFormat="1" applyFont="1" applyBorder="1" applyAlignment="1">
      <alignment vertical="center"/>
    </xf>
    <xf numFmtId="20" fontId="34" fillId="0" borderId="55" xfId="11" applyNumberFormat="1" applyFont="1" applyFill="1" applyBorder="1" applyAlignment="1">
      <alignment vertical="center"/>
    </xf>
    <xf numFmtId="20" fontId="34" fillId="0" borderId="56" xfId="11" applyNumberFormat="1" applyFont="1" applyFill="1" applyBorder="1" applyAlignment="1">
      <alignment vertical="center"/>
    </xf>
    <xf numFmtId="46" fontId="25" fillId="0" borderId="16" xfId="10" applyNumberFormat="1" applyFont="1" applyAlignment="1">
      <alignment vertical="center"/>
    </xf>
    <xf numFmtId="46" fontId="25" fillId="0" borderId="16" xfId="10" applyNumberFormat="1" applyFont="1" applyAlignment="1">
      <alignment vertical="top" wrapText="1"/>
    </xf>
    <xf numFmtId="46" fontId="25" fillId="0" borderId="16" xfId="10" applyNumberFormat="1" applyFont="1" applyAlignment="1">
      <alignment horizontal="center" vertical="top" wrapText="1"/>
    </xf>
    <xf numFmtId="46" fontId="25" fillId="0" borderId="16" xfId="10" applyNumberFormat="1" applyFont="1" applyAlignment="1">
      <alignment horizontal="center" vertical="center"/>
    </xf>
    <xf numFmtId="20" fontId="15" fillId="0" borderId="32" xfId="0" applyNumberFormat="1" applyFont="1" applyBorder="1" applyAlignment="1">
      <alignment vertical="center"/>
    </xf>
    <xf numFmtId="20" fontId="15" fillId="0" borderId="33" xfId="0" applyNumberFormat="1" applyFont="1" applyBorder="1" applyAlignment="1">
      <alignment vertical="center"/>
    </xf>
    <xf numFmtId="0" fontId="2" fillId="37" borderId="5" xfId="21" applyBorder="1" applyAlignment="1">
      <alignment vertical="center"/>
    </xf>
    <xf numFmtId="14" fontId="5" fillId="37" borderId="78" xfId="8" applyNumberFormat="1" applyBorder="1" applyAlignment="1">
      <alignment horizontal="left" vertical="center"/>
    </xf>
    <xf numFmtId="0" fontId="5" fillId="37" borderId="78" xfId="8" applyBorder="1" applyAlignment="1">
      <alignment vertical="center"/>
    </xf>
    <xf numFmtId="20" fontId="5" fillId="37" borderId="78" xfId="8" applyNumberFormat="1" applyBorder="1" applyAlignment="1">
      <alignment vertical="center"/>
    </xf>
    <xf numFmtId="14" fontId="8" fillId="0" borderId="78" xfId="0" applyNumberFormat="1" applyFont="1" applyBorder="1" applyAlignment="1">
      <alignment horizontal="left" vertical="center"/>
    </xf>
    <xf numFmtId="14" fontId="8" fillId="9" borderId="78" xfId="0" applyNumberFormat="1" applyFont="1" applyFill="1" applyBorder="1" applyAlignment="1">
      <alignment horizontal="left" vertical="center"/>
    </xf>
    <xf numFmtId="14" fontId="21" fillId="37" borderId="78" xfId="5" applyNumberFormat="1" applyFont="1" applyBorder="1" applyAlignment="1">
      <alignment horizontal="center" vertical="center"/>
    </xf>
    <xf numFmtId="46" fontId="21" fillId="37" borderId="78" xfId="5" applyNumberFormat="1" applyFont="1" applyBorder="1" applyAlignment="1">
      <alignment vertical="center"/>
    </xf>
    <xf numFmtId="164" fontId="6" fillId="37" borderId="78" xfId="5" applyNumberFormat="1" applyBorder="1" applyAlignment="1">
      <alignment horizontal="center" vertical="center"/>
    </xf>
    <xf numFmtId="0" fontId="21" fillId="37" borderId="78" xfId="5" applyFont="1" applyBorder="1" applyAlignment="1">
      <alignment vertical="center"/>
    </xf>
    <xf numFmtId="14" fontId="21" fillId="37" borderId="16" xfId="5" applyNumberFormat="1" applyFont="1" applyBorder="1" applyAlignment="1">
      <alignment horizontal="center" vertical="center"/>
    </xf>
    <xf numFmtId="0" fontId="21" fillId="37" borderId="16" xfId="5" applyFont="1" applyBorder="1" applyAlignment="1">
      <alignment vertical="center"/>
    </xf>
    <xf numFmtId="46" fontId="21" fillId="37" borderId="16" xfId="5" applyNumberFormat="1" applyFont="1" applyBorder="1" applyAlignment="1">
      <alignment vertical="center"/>
    </xf>
    <xf numFmtId="46" fontId="21" fillId="37" borderId="16" xfId="21" applyNumberFormat="1" applyFont="1" applyBorder="1" applyAlignment="1">
      <alignment horizontal="center" vertical="center"/>
    </xf>
    <xf numFmtId="46" fontId="21" fillId="37" borderId="16" xfId="21" applyNumberFormat="1" applyFont="1" applyBorder="1" applyAlignment="1">
      <alignment vertical="center"/>
    </xf>
    <xf numFmtId="46" fontId="22" fillId="37" borderId="16" xfId="5" applyNumberFormat="1" applyFont="1" applyBorder="1" applyAlignment="1">
      <alignment vertical="center"/>
    </xf>
    <xf numFmtId="46" fontId="22" fillId="37" borderId="16" xfId="5" applyNumberFormat="1" applyFont="1" applyBorder="1" applyAlignment="1">
      <alignment horizontal="center" vertical="center"/>
    </xf>
    <xf numFmtId="46" fontId="24" fillId="37" borderId="16" xfId="5" applyNumberFormat="1" applyFont="1" applyBorder="1" applyAlignment="1">
      <alignment vertical="center" wrapText="1"/>
    </xf>
    <xf numFmtId="14" fontId="21" fillId="37" borderId="16" xfId="21" applyNumberFormat="1" applyFont="1" applyBorder="1" applyAlignment="1">
      <alignment horizontal="center" vertical="center"/>
    </xf>
    <xf numFmtId="14" fontId="21" fillId="37" borderId="55" xfId="21" applyNumberFormat="1" applyFont="1" applyBorder="1" applyAlignment="1">
      <alignment horizontal="center" vertical="center"/>
    </xf>
    <xf numFmtId="0" fontId="2" fillId="37" borderId="66" xfId="21" applyBorder="1" applyAlignment="1">
      <alignment horizontal="right" vertical="center"/>
    </xf>
    <xf numFmtId="0" fontId="2" fillId="37" borderId="67" xfId="21" applyBorder="1" applyAlignment="1">
      <alignment horizontal="right" vertical="center"/>
    </xf>
    <xf numFmtId="0" fontId="2" fillId="37" borderId="35" xfId="21" applyBorder="1" applyAlignment="1">
      <alignment horizontal="right" vertical="center"/>
    </xf>
    <xf numFmtId="0" fontId="2" fillId="37" borderId="36" xfId="21" applyBorder="1" applyAlignment="1">
      <alignment horizontal="right" vertical="center"/>
    </xf>
    <xf numFmtId="0" fontId="2" fillId="37" borderId="36" xfId="21" applyBorder="1" applyAlignment="1">
      <alignment vertical="center"/>
    </xf>
    <xf numFmtId="46" fontId="49" fillId="37" borderId="78" xfId="5" applyNumberFormat="1" applyFont="1" applyBorder="1" applyAlignment="1">
      <alignment vertical="center"/>
    </xf>
    <xf numFmtId="46" fontId="51" fillId="37" borderId="78" xfId="5" applyNumberFormat="1" applyFont="1" applyBorder="1" applyAlignment="1">
      <alignment vertical="center"/>
    </xf>
    <xf numFmtId="20" fontId="49" fillId="37" borderId="78" xfId="8" applyNumberFormat="1" applyFont="1" applyBorder="1" applyAlignment="1">
      <alignment vertical="center"/>
    </xf>
    <xf numFmtId="1" fontId="34" fillId="46" borderId="51" xfId="19" applyNumberFormat="1" applyFont="1" applyFill="1" applyBorder="1" applyAlignment="1">
      <alignment vertical="center"/>
    </xf>
    <xf numFmtId="0" fontId="34" fillId="46" borderId="51" xfId="19" applyFont="1" applyFill="1" applyBorder="1" applyAlignment="1">
      <alignment vertical="center"/>
    </xf>
    <xf numFmtId="1" fontId="34" fillId="46" borderId="67" xfId="19" applyNumberFormat="1" applyFont="1" applyFill="1" applyBorder="1" applyAlignment="1">
      <alignment vertical="center"/>
    </xf>
    <xf numFmtId="0" fontId="34" fillId="46" borderId="67" xfId="19" applyFont="1" applyFill="1" applyBorder="1" applyAlignment="1">
      <alignment vertical="center"/>
    </xf>
    <xf numFmtId="0" fontId="52" fillId="0" borderId="0" xfId="0" applyFont="1"/>
    <xf numFmtId="0" fontId="49" fillId="37" borderId="78" xfId="5" applyFont="1" applyBorder="1" applyAlignment="1">
      <alignment vertical="center"/>
    </xf>
    <xf numFmtId="164" fontId="49" fillId="37" borderId="78" xfId="5" applyNumberFormat="1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49" fillId="37" borderId="78" xfId="8" applyFont="1" applyBorder="1" applyAlignment="1">
      <alignment vertical="center"/>
    </xf>
    <xf numFmtId="0" fontId="51" fillId="37" borderId="78" xfId="5" applyFont="1" applyBorder="1" applyAlignment="1">
      <alignment vertical="center"/>
    </xf>
    <xf numFmtId="20" fontId="55" fillId="0" borderId="78" xfId="0" applyNumberFormat="1" applyFont="1" applyBorder="1" applyAlignment="1">
      <alignment vertical="center"/>
    </xf>
    <xf numFmtId="20" fontId="55" fillId="47" borderId="78" xfId="0" applyNumberFormat="1" applyFont="1" applyFill="1" applyBorder="1" applyAlignment="1">
      <alignment vertical="center"/>
    </xf>
    <xf numFmtId="0" fontId="9" fillId="28" borderId="31" xfId="0" applyFont="1" applyFill="1" applyBorder="1" applyAlignment="1">
      <alignment horizontal="center" vertical="center"/>
    </xf>
    <xf numFmtId="0" fontId="9" fillId="28" borderId="33" xfId="0" applyFont="1" applyFill="1" applyBorder="1" applyAlignment="1">
      <alignment horizontal="center" vertical="center"/>
    </xf>
    <xf numFmtId="0" fontId="14" fillId="20" borderId="13" xfId="0" applyFont="1" applyFill="1" applyBorder="1" applyAlignment="1">
      <alignment horizontal="right" vertical="center"/>
    </xf>
    <xf numFmtId="46" fontId="25" fillId="0" borderId="16" xfId="10" applyNumberFormat="1" applyFont="1" applyAlignment="1">
      <alignment horizontal="center" vertical="top" wrapText="1"/>
    </xf>
    <xf numFmtId="20" fontId="53" fillId="47" borderId="78" xfId="0" applyNumberFormat="1" applyFont="1" applyFill="1" applyBorder="1" applyAlignment="1">
      <alignment vertical="center"/>
    </xf>
    <xf numFmtId="20" fontId="10" fillId="47" borderId="78" xfId="0" applyNumberFormat="1" applyFont="1" applyFill="1" applyBorder="1" applyAlignment="1">
      <alignment vertical="center"/>
    </xf>
    <xf numFmtId="14" fontId="8" fillId="42" borderId="78" xfId="0" applyNumberFormat="1" applyFont="1" applyFill="1" applyBorder="1" applyAlignment="1">
      <alignment horizontal="left" vertical="center"/>
    </xf>
    <xf numFmtId="0" fontId="8" fillId="36" borderId="20" xfId="0" applyFont="1" applyFill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20" fontId="7" fillId="0" borderId="27" xfId="0" applyNumberFormat="1" applyFont="1" applyBorder="1"/>
    <xf numFmtId="0" fontId="7" fillId="0" borderId="27" xfId="0" applyFont="1" applyBorder="1" applyAlignment="1">
      <alignment horizontal="center" vertical="center"/>
    </xf>
    <xf numFmtId="0" fontId="8" fillId="36" borderId="21" xfId="0" applyFont="1" applyFill="1" applyBorder="1" applyAlignment="1">
      <alignment horizontal="left" vertical="center"/>
    </xf>
    <xf numFmtId="0" fontId="7" fillId="0" borderId="29" xfId="0" applyFont="1" applyBorder="1" applyAlignment="1">
      <alignment vertical="center"/>
    </xf>
    <xf numFmtId="20" fontId="7" fillId="0" borderId="30" xfId="0" applyNumberFormat="1" applyFont="1" applyBorder="1"/>
    <xf numFmtId="20" fontId="7" fillId="0" borderId="30" xfId="0" applyNumberFormat="1" applyFont="1" applyBorder="1" applyAlignment="1">
      <alignment horizontal="center" vertical="center"/>
    </xf>
    <xf numFmtId="0" fontId="8" fillId="36" borderId="22" xfId="0" applyFont="1" applyFill="1" applyBorder="1" applyAlignment="1">
      <alignment horizontal="left" vertical="center"/>
    </xf>
    <xf numFmtId="0" fontId="9" fillId="28" borderId="6" xfId="0" applyFont="1" applyFill="1" applyBorder="1" applyAlignment="1">
      <alignment horizontal="left" vertical="center"/>
    </xf>
    <xf numFmtId="0" fontId="9" fillId="28" borderId="26" xfId="0" applyFont="1" applyFill="1" applyBorder="1" applyAlignment="1">
      <alignment horizontal="center" vertical="center"/>
    </xf>
    <xf numFmtId="0" fontId="9" fillId="28" borderId="27" xfId="0" applyFont="1" applyFill="1" applyBorder="1" applyAlignment="1">
      <alignment horizontal="center" vertical="center"/>
    </xf>
    <xf numFmtId="14" fontId="8" fillId="36" borderId="43" xfId="0" applyNumberFormat="1" applyFont="1" applyFill="1" applyBorder="1" applyAlignment="1">
      <alignment horizontal="left" vertical="center"/>
    </xf>
    <xf numFmtId="14" fontId="39" fillId="3" borderId="40" xfId="19" applyNumberFormat="1" applyFont="1" applyBorder="1" applyAlignment="1">
      <alignment horizontal="left" vertical="center"/>
    </xf>
    <xf numFmtId="14" fontId="8" fillId="36" borderId="78" xfId="0" applyNumberFormat="1" applyFont="1" applyFill="1" applyBorder="1" applyAlignment="1">
      <alignment horizontal="left" vertical="center"/>
    </xf>
    <xf numFmtId="14" fontId="8" fillId="36" borderId="87" xfId="0" applyNumberFormat="1" applyFont="1" applyFill="1" applyBorder="1" applyAlignment="1">
      <alignment horizontal="left" vertical="center"/>
    </xf>
    <xf numFmtId="14" fontId="12" fillId="36" borderId="23" xfId="0" applyNumberFormat="1" applyFont="1" applyFill="1" applyBorder="1" applyAlignment="1">
      <alignment horizontal="left" vertical="center"/>
    </xf>
    <xf numFmtId="0" fontId="7" fillId="36" borderId="16" xfId="0" applyFont="1" applyFill="1" applyBorder="1" applyAlignment="1">
      <alignment vertical="center"/>
    </xf>
    <xf numFmtId="20" fontId="7" fillId="36" borderId="16" xfId="0" applyNumberFormat="1" applyFont="1" applyFill="1" applyBorder="1" applyAlignment="1">
      <alignment vertical="center"/>
    </xf>
    <xf numFmtId="20" fontId="10" fillId="36" borderId="17" xfId="0" applyNumberFormat="1" applyFont="1" applyFill="1" applyBorder="1" applyAlignment="1">
      <alignment vertical="center"/>
    </xf>
    <xf numFmtId="0" fontId="8" fillId="19" borderId="37" xfId="0" applyFont="1" applyFill="1" applyBorder="1" applyAlignment="1">
      <alignment horizontal="left" vertical="center"/>
    </xf>
    <xf numFmtId="0" fontId="7" fillId="19" borderId="38" xfId="0" applyFont="1" applyFill="1" applyBorder="1" applyAlignment="1">
      <alignment vertical="center"/>
    </xf>
    <xf numFmtId="46" fontId="8" fillId="19" borderId="38" xfId="0" applyNumberFormat="1" applyFont="1" applyFill="1" applyBorder="1" applyAlignment="1">
      <alignment vertical="center"/>
    </xf>
    <xf numFmtId="46" fontId="8" fillId="19" borderId="39" xfId="0" applyNumberFormat="1" applyFont="1" applyFill="1" applyBorder="1" applyAlignment="1">
      <alignment vertical="center"/>
    </xf>
    <xf numFmtId="0" fontId="7" fillId="19" borderId="10" xfId="0" applyFont="1" applyFill="1" applyBorder="1" applyAlignment="1">
      <alignment vertical="center"/>
    </xf>
    <xf numFmtId="0" fontId="7" fillId="19" borderId="11" xfId="0" applyFont="1" applyFill="1" applyBorder="1" applyAlignment="1">
      <alignment vertical="center"/>
    </xf>
    <xf numFmtId="46" fontId="0" fillId="36" borderId="16" xfId="0" applyNumberFormat="1" applyFill="1" applyBorder="1" applyAlignment="1">
      <alignment horizontal="right" vertical="center"/>
    </xf>
    <xf numFmtId="164" fontId="0" fillId="36" borderId="17" xfId="0" applyNumberFormat="1" applyFill="1" applyBorder="1" applyAlignment="1">
      <alignment vertical="center"/>
    </xf>
    <xf numFmtId="0" fontId="0" fillId="36" borderId="23" xfId="0" applyFill="1" applyBorder="1" applyAlignment="1">
      <alignment vertical="center"/>
    </xf>
    <xf numFmtId="0" fontId="14" fillId="36" borderId="16" xfId="0" applyFont="1" applyFill="1" applyBorder="1" applyAlignment="1">
      <alignment horizontal="right" vertical="center"/>
    </xf>
    <xf numFmtId="46" fontId="0" fillId="36" borderId="16" xfId="0" applyNumberFormat="1" applyFill="1" applyBorder="1" applyAlignment="1">
      <alignment vertical="center"/>
    </xf>
    <xf numFmtId="164" fontId="14" fillId="36" borderId="17" xfId="0" applyNumberFormat="1" applyFont="1" applyFill="1" applyBorder="1" applyAlignment="1">
      <alignment vertical="center"/>
    </xf>
    <xf numFmtId="0" fontId="0" fillId="36" borderId="17" xfId="0" applyFill="1" applyBorder="1" applyAlignment="1">
      <alignment vertical="center"/>
    </xf>
    <xf numFmtId="46" fontId="14" fillId="36" borderId="16" xfId="0" applyNumberFormat="1" applyFont="1" applyFill="1" applyBorder="1" applyAlignment="1">
      <alignment vertical="center"/>
    </xf>
    <xf numFmtId="20" fontId="0" fillId="36" borderId="16" xfId="0" applyNumberFormat="1" applyFill="1" applyBorder="1" applyAlignment="1">
      <alignment vertical="center"/>
    </xf>
    <xf numFmtId="0" fontId="14" fillId="36" borderId="16" xfId="0" applyFont="1" applyFill="1" applyBorder="1" applyAlignment="1">
      <alignment vertical="center"/>
    </xf>
    <xf numFmtId="46" fontId="0" fillId="36" borderId="17" xfId="0" applyNumberFormat="1" applyFill="1" applyBorder="1" applyAlignment="1">
      <alignment horizontal="right" vertical="center"/>
    </xf>
    <xf numFmtId="1" fontId="0" fillId="36" borderId="38" xfId="0" applyNumberFormat="1" applyFill="1" applyBorder="1" applyAlignment="1">
      <alignment vertical="center"/>
    </xf>
    <xf numFmtId="1" fontId="0" fillId="36" borderId="39" xfId="0" applyNumberFormat="1" applyFill="1" applyBorder="1" applyAlignment="1">
      <alignment vertical="center"/>
    </xf>
    <xf numFmtId="1" fontId="0" fillId="36" borderId="29" xfId="0" applyNumberFormat="1" applyFill="1" applyBorder="1" applyAlignment="1">
      <alignment vertical="center"/>
    </xf>
    <xf numFmtId="1" fontId="0" fillId="36" borderId="30" xfId="0" applyNumberFormat="1" applyFill="1" applyBorder="1" applyAlignment="1">
      <alignment vertical="center"/>
    </xf>
    <xf numFmtId="20" fontId="57" fillId="47" borderId="78" xfId="0" applyNumberFormat="1" applyFont="1" applyFill="1" applyBorder="1" applyAlignment="1">
      <alignment vertical="center"/>
    </xf>
    <xf numFmtId="20" fontId="57" fillId="0" borderId="78" xfId="0" applyNumberFormat="1" applyFont="1" applyBorder="1" applyAlignment="1">
      <alignment vertical="center"/>
    </xf>
    <xf numFmtId="14" fontId="8" fillId="49" borderId="78" xfId="0" applyNumberFormat="1" applyFont="1" applyFill="1" applyBorder="1" applyAlignment="1">
      <alignment horizontal="left" vertical="center"/>
    </xf>
    <xf numFmtId="20" fontId="10" fillId="49" borderId="78" xfId="0" applyNumberFormat="1" applyFont="1" applyFill="1" applyBorder="1" applyAlignment="1">
      <alignment vertical="center"/>
    </xf>
    <xf numFmtId="20" fontId="53" fillId="49" borderId="78" xfId="0" applyNumberFormat="1" applyFont="1" applyFill="1" applyBorder="1" applyAlignment="1">
      <alignment vertical="center"/>
    </xf>
    <xf numFmtId="14" fontId="8" fillId="50" borderId="78" xfId="0" applyNumberFormat="1" applyFont="1" applyFill="1" applyBorder="1" applyAlignment="1">
      <alignment horizontal="left" vertical="center"/>
    </xf>
    <xf numFmtId="20" fontId="15" fillId="0" borderId="16" xfId="0" applyNumberFormat="1" applyFont="1" applyBorder="1" applyAlignment="1">
      <alignment vertical="center"/>
    </xf>
    <xf numFmtId="20" fontId="34" fillId="0" borderId="16" xfId="11" applyNumberFormat="1" applyFont="1" applyFill="1" applyBorder="1" applyAlignment="1">
      <alignment vertical="center"/>
    </xf>
    <xf numFmtId="20" fontId="15" fillId="36" borderId="16" xfId="0" applyNumberFormat="1" applyFont="1" applyFill="1" applyBorder="1" applyAlignment="1">
      <alignment vertical="center"/>
    </xf>
    <xf numFmtId="20" fontId="15" fillId="0" borderId="31" xfId="0" applyNumberFormat="1" applyFont="1" applyBorder="1" applyAlignment="1">
      <alignment vertical="center"/>
    </xf>
    <xf numFmtId="20" fontId="54" fillId="47" borderId="92" xfId="0" applyNumberFormat="1" applyFont="1" applyFill="1" applyBorder="1" applyAlignment="1">
      <alignment vertical="center"/>
    </xf>
    <xf numFmtId="0" fontId="2" fillId="37" borderId="94" xfId="21" applyBorder="1" applyAlignment="1">
      <alignment vertical="center"/>
    </xf>
    <xf numFmtId="0" fontId="2" fillId="37" borderId="95" xfId="21" applyBorder="1" applyAlignment="1">
      <alignment vertical="center"/>
    </xf>
    <xf numFmtId="20" fontId="15" fillId="36" borderId="35" xfId="0" applyNumberFormat="1" applyFont="1" applyFill="1" applyBorder="1" applyAlignment="1">
      <alignment vertical="center"/>
    </xf>
    <xf numFmtId="20" fontId="2" fillId="37" borderId="37" xfId="21" applyNumberFormat="1" applyBorder="1" applyAlignment="1">
      <alignment vertical="center"/>
    </xf>
    <xf numFmtId="20" fontId="2" fillId="37" borderId="34" xfId="21" applyNumberFormat="1" applyBorder="1" applyAlignment="1">
      <alignment vertical="center"/>
    </xf>
    <xf numFmtId="20" fontId="2" fillId="37" borderId="36" xfId="21" applyNumberFormat="1" applyBorder="1" applyAlignment="1">
      <alignment vertical="center"/>
    </xf>
    <xf numFmtId="14" fontId="5" fillId="37" borderId="51" xfId="8" applyNumberFormat="1" applyBorder="1" applyAlignment="1">
      <alignment horizontal="left" vertical="center"/>
    </xf>
    <xf numFmtId="0" fontId="5" fillId="37" borderId="51" xfId="8" applyBorder="1" applyAlignment="1">
      <alignment vertical="center"/>
    </xf>
    <xf numFmtId="20" fontId="5" fillId="37" borderId="51" xfId="8" applyNumberFormat="1" applyBorder="1" applyAlignment="1">
      <alignment vertical="center"/>
    </xf>
    <xf numFmtId="0" fontId="9" fillId="6" borderId="10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28" borderId="96" xfId="10" applyFont="1" applyFill="1" applyBorder="1" applyAlignment="1">
      <alignment horizontal="center" vertical="center"/>
    </xf>
    <xf numFmtId="0" fontId="9" fillId="28" borderId="97" xfId="10" applyFont="1" applyFill="1" applyBorder="1" applyAlignment="1">
      <alignment horizontal="center" vertical="center"/>
    </xf>
    <xf numFmtId="14" fontId="5" fillId="37" borderId="98" xfId="8" applyNumberFormat="1" applyBorder="1" applyAlignment="1">
      <alignment horizontal="left" vertical="center"/>
    </xf>
    <xf numFmtId="1" fontId="63" fillId="0" borderId="50" xfId="0" applyNumberFormat="1" applyFont="1" applyBorder="1" applyAlignment="1">
      <alignment vertical="center"/>
    </xf>
    <xf numFmtId="0" fontId="63" fillId="0" borderId="50" xfId="0" applyFont="1" applyBorder="1" applyAlignment="1">
      <alignment vertical="center"/>
    </xf>
    <xf numFmtId="20" fontId="32" fillId="52" borderId="49" xfId="0" applyNumberFormat="1" applyFont="1" applyFill="1" applyBorder="1" applyAlignment="1">
      <alignment horizontal="right" vertical="center"/>
    </xf>
    <xf numFmtId="1" fontId="29" fillId="52" borderId="50" xfId="0" applyNumberFormat="1" applyFont="1" applyFill="1" applyBorder="1" applyAlignment="1">
      <alignment vertical="center"/>
    </xf>
    <xf numFmtId="0" fontId="29" fillId="52" borderId="50" xfId="0" applyFont="1" applyFill="1" applyBorder="1" applyAlignment="1">
      <alignment vertical="center"/>
    </xf>
    <xf numFmtId="20" fontId="32" fillId="52" borderId="52" xfId="0" applyNumberFormat="1" applyFont="1" applyFill="1" applyBorder="1" applyAlignment="1">
      <alignment horizontal="right" vertical="center"/>
    </xf>
    <xf numFmtId="1" fontId="29" fillId="52" borderId="53" xfId="0" applyNumberFormat="1" applyFont="1" applyFill="1" applyBorder="1" applyAlignment="1">
      <alignment vertical="center"/>
    </xf>
    <xf numFmtId="0" fontId="29" fillId="52" borderId="53" xfId="0" applyFont="1" applyFill="1" applyBorder="1" applyAlignment="1">
      <alignment vertical="center"/>
    </xf>
    <xf numFmtId="46" fontId="7" fillId="36" borderId="45" xfId="0" applyNumberFormat="1" applyFont="1" applyFill="1" applyBorder="1" applyAlignment="1">
      <alignment horizontal="right" vertical="center"/>
    </xf>
    <xf numFmtId="46" fontId="7" fillId="36" borderId="51" xfId="0" applyNumberFormat="1" applyFont="1" applyFill="1" applyBorder="1" applyAlignment="1">
      <alignment horizontal="right" vertical="center"/>
    </xf>
    <xf numFmtId="46" fontId="7" fillId="36" borderId="49" xfId="0" applyNumberFormat="1" applyFont="1" applyFill="1" applyBorder="1" applyAlignment="1">
      <alignment horizontal="right" vertical="center"/>
    </xf>
    <xf numFmtId="0" fontId="2" fillId="37" borderId="49" xfId="21" applyBorder="1" applyAlignment="1">
      <alignment horizontal="right" vertical="center"/>
    </xf>
    <xf numFmtId="0" fontId="2" fillId="37" borderId="50" xfId="21" applyBorder="1" applyAlignment="1">
      <alignment horizontal="right" vertical="center"/>
    </xf>
    <xf numFmtId="46" fontId="7" fillId="36" borderId="85" xfId="0" applyNumberFormat="1" applyFont="1" applyFill="1" applyBorder="1" applyAlignment="1">
      <alignment horizontal="right" vertical="center"/>
    </xf>
    <xf numFmtId="46" fontId="7" fillId="36" borderId="50" xfId="0" applyNumberFormat="1" applyFont="1" applyFill="1" applyBorder="1" applyAlignment="1">
      <alignment horizontal="right" vertical="center"/>
    </xf>
    <xf numFmtId="0" fontId="39" fillId="42" borderId="40" xfId="19" applyFont="1" applyFill="1" applyBorder="1" applyAlignment="1">
      <alignment vertical="center" wrapText="1"/>
    </xf>
    <xf numFmtId="0" fontId="39" fillId="42" borderId="68" xfId="19" applyFont="1" applyFill="1" applyBorder="1" applyAlignment="1">
      <alignment vertical="center" wrapText="1"/>
    </xf>
    <xf numFmtId="0" fontId="39" fillId="42" borderId="43" xfId="19" applyFont="1" applyFill="1" applyBorder="1" applyAlignment="1">
      <alignment vertical="center" wrapText="1"/>
    </xf>
    <xf numFmtId="46" fontId="24" fillId="55" borderId="86" xfId="22" applyNumberFormat="1" applyFont="1" applyFill="1" applyBorder="1" applyAlignment="1">
      <alignment horizontal="left" vertical="center" wrapText="1"/>
    </xf>
    <xf numFmtId="0" fontId="39" fillId="47" borderId="40" xfId="19" applyFont="1" applyFill="1" applyBorder="1" applyAlignment="1">
      <alignment vertical="center" wrapText="1"/>
    </xf>
    <xf numFmtId="0" fontId="39" fillId="47" borderId="68" xfId="19" applyFont="1" applyFill="1" applyBorder="1" applyAlignment="1">
      <alignment vertical="center" wrapText="1"/>
    </xf>
    <xf numFmtId="46" fontId="64" fillId="47" borderId="78" xfId="7" applyNumberFormat="1" applyFont="1" applyFill="1" applyBorder="1" applyAlignment="1">
      <alignment horizontal="right" vertical="center"/>
    </xf>
    <xf numFmtId="46" fontId="64" fillId="47" borderId="79" xfId="7" applyNumberFormat="1" applyFont="1" applyFill="1" applyBorder="1" applyAlignment="1">
      <alignment horizontal="right" vertical="center"/>
    </xf>
    <xf numFmtId="46" fontId="24" fillId="55" borderId="68" xfId="22" applyNumberFormat="1" applyFont="1" applyFill="1" applyBorder="1" applyAlignment="1">
      <alignment horizontal="left" vertical="center" wrapText="1"/>
    </xf>
    <xf numFmtId="46" fontId="64" fillId="47" borderId="99" xfId="7" applyNumberFormat="1" applyFont="1" applyFill="1" applyBorder="1" applyAlignment="1">
      <alignment horizontal="right" vertical="center"/>
    </xf>
    <xf numFmtId="46" fontId="64" fillId="47" borderId="82" xfId="7" applyNumberFormat="1" applyFont="1" applyFill="1" applyBorder="1" applyAlignment="1">
      <alignment horizontal="right" vertical="center"/>
    </xf>
    <xf numFmtId="46" fontId="7" fillId="36" borderId="99" xfId="0" applyNumberFormat="1" applyFont="1" applyFill="1" applyBorder="1" applyAlignment="1">
      <alignment horizontal="right" vertical="center"/>
    </xf>
    <xf numFmtId="46" fontId="7" fillId="36" borderId="101" xfId="0" applyNumberFormat="1" applyFont="1" applyFill="1" applyBorder="1" applyAlignment="1">
      <alignment horizontal="right" vertical="center"/>
    </xf>
    <xf numFmtId="46" fontId="7" fillId="36" borderId="64" xfId="0" applyNumberFormat="1" applyFont="1" applyFill="1" applyBorder="1" applyAlignment="1">
      <alignment horizontal="right" vertical="center"/>
    </xf>
    <xf numFmtId="46" fontId="7" fillId="36" borderId="71" xfId="0" applyNumberFormat="1" applyFont="1" applyFill="1" applyBorder="1" applyAlignment="1">
      <alignment horizontal="right" vertical="center"/>
    </xf>
    <xf numFmtId="46" fontId="7" fillId="36" borderId="72" xfId="0" applyNumberFormat="1" applyFont="1" applyFill="1" applyBorder="1" applyAlignment="1">
      <alignment horizontal="right" vertical="center"/>
    </xf>
    <xf numFmtId="0" fontId="33" fillId="42" borderId="40" xfId="19" applyFont="1" applyFill="1" applyBorder="1" applyAlignment="1">
      <alignment vertical="center" wrapText="1"/>
    </xf>
    <xf numFmtId="46" fontId="64" fillId="55" borderId="78" xfId="7" applyNumberFormat="1" applyFont="1" applyFill="1" applyBorder="1" applyAlignment="1">
      <alignment horizontal="right" vertical="center"/>
    </xf>
    <xf numFmtId="46" fontId="64" fillId="55" borderId="79" xfId="7" applyNumberFormat="1" applyFont="1" applyFill="1" applyBorder="1" applyAlignment="1">
      <alignment horizontal="right" vertical="center"/>
    </xf>
    <xf numFmtId="0" fontId="33" fillId="42" borderId="68" xfId="19" applyFont="1" applyFill="1" applyBorder="1" applyAlignment="1">
      <alignment vertical="center" wrapText="1"/>
    </xf>
    <xf numFmtId="0" fontId="33" fillId="42" borderId="43" xfId="19" applyFont="1" applyFill="1" applyBorder="1" applyAlignment="1">
      <alignment vertical="center" wrapText="1"/>
    </xf>
    <xf numFmtId="0" fontId="33" fillId="42" borderId="84" xfId="19" applyFont="1" applyFill="1" applyBorder="1" applyAlignment="1">
      <alignment vertical="center" wrapText="1"/>
    </xf>
    <xf numFmtId="0" fontId="33" fillId="47" borderId="40" xfId="19" applyFont="1" applyFill="1" applyBorder="1" applyAlignment="1">
      <alignment vertical="center" wrapText="1"/>
    </xf>
    <xf numFmtId="0" fontId="33" fillId="47" borderId="68" xfId="19" applyFont="1" applyFill="1" applyBorder="1" applyAlignment="1">
      <alignment vertical="center" wrapText="1"/>
    </xf>
    <xf numFmtId="0" fontId="29" fillId="48" borderId="42" xfId="0" applyFont="1" applyFill="1" applyBorder="1" applyAlignment="1">
      <alignment vertical="center"/>
    </xf>
    <xf numFmtId="46" fontId="64" fillId="55" borderId="99" xfId="7" applyNumberFormat="1" applyFont="1" applyFill="1" applyBorder="1" applyAlignment="1">
      <alignment horizontal="right" vertical="center"/>
    </xf>
    <xf numFmtId="46" fontId="64" fillId="55" borderId="82" xfId="7" applyNumberFormat="1" applyFont="1" applyFill="1" applyBorder="1" applyAlignment="1">
      <alignment horizontal="right" vertical="center"/>
    </xf>
    <xf numFmtId="1" fontId="29" fillId="51" borderId="50" xfId="0" applyNumberFormat="1" applyFont="1" applyFill="1" applyBorder="1" applyAlignment="1">
      <alignment vertical="center"/>
    </xf>
    <xf numFmtId="0" fontId="29" fillId="51" borderId="50" xfId="0" applyFont="1" applyFill="1" applyBorder="1" applyAlignment="1">
      <alignment vertical="center"/>
    </xf>
    <xf numFmtId="46" fontId="7" fillId="36" borderId="102" xfId="0" applyNumberFormat="1" applyFont="1" applyFill="1" applyBorder="1" applyAlignment="1">
      <alignment horizontal="right" vertical="center"/>
    </xf>
    <xf numFmtId="20" fontId="65" fillId="0" borderId="52" xfId="19" applyNumberFormat="1" applyFont="1" applyFill="1" applyBorder="1" applyAlignment="1">
      <alignment horizontal="right" vertical="center"/>
    </xf>
    <xf numFmtId="20" fontId="65" fillId="0" borderId="66" xfId="19" applyNumberFormat="1" applyFont="1" applyFill="1" applyBorder="1" applyAlignment="1">
      <alignment horizontal="right" vertical="center"/>
    </xf>
    <xf numFmtId="1" fontId="34" fillId="3" borderId="72" xfId="19" applyNumberFormat="1" applyFont="1" applyBorder="1" applyAlignment="1">
      <alignment vertical="center"/>
    </xf>
    <xf numFmtId="0" fontId="34" fillId="3" borderId="72" xfId="19" applyFont="1" applyBorder="1" applyAlignment="1">
      <alignment vertical="center"/>
    </xf>
    <xf numFmtId="46" fontId="24" fillId="48" borderId="57" xfId="5" applyNumberFormat="1" applyFont="1" applyFill="1" applyBorder="1" applyAlignment="1">
      <alignment vertical="center"/>
    </xf>
    <xf numFmtId="0" fontId="29" fillId="48" borderId="41" xfId="0" applyFont="1" applyFill="1" applyBorder="1" applyAlignment="1">
      <alignment vertical="center"/>
    </xf>
    <xf numFmtId="46" fontId="24" fillId="48" borderId="41" xfId="5" applyNumberFormat="1" applyFont="1" applyFill="1" applyBorder="1" applyAlignment="1">
      <alignment vertical="center"/>
    </xf>
    <xf numFmtId="46" fontId="24" fillId="48" borderId="41" xfId="5" applyNumberFormat="1" applyFont="1" applyFill="1" applyBorder="1" applyAlignment="1">
      <alignment vertical="center" wrapText="1"/>
    </xf>
    <xf numFmtId="0" fontId="61" fillId="48" borderId="42" xfId="0" applyFont="1" applyFill="1" applyBorder="1" applyAlignment="1">
      <alignment vertical="center"/>
    </xf>
    <xf numFmtId="20" fontId="38" fillId="42" borderId="49" xfId="19" applyNumberFormat="1" applyFont="1" applyFill="1" applyBorder="1" applyAlignment="1">
      <alignment horizontal="right" vertical="center"/>
    </xf>
    <xf numFmtId="20" fontId="5" fillId="37" borderId="105" xfId="8" applyNumberFormat="1" applyBorder="1" applyAlignment="1">
      <alignment vertical="center"/>
    </xf>
    <xf numFmtId="46" fontId="51" fillId="37" borderId="92" xfId="5" applyNumberFormat="1" applyFont="1" applyBorder="1" applyAlignment="1">
      <alignment vertical="center"/>
    </xf>
    <xf numFmtId="20" fontId="49" fillId="37" borderId="92" xfId="8" applyNumberFormat="1" applyFont="1" applyBorder="1" applyAlignment="1">
      <alignment vertical="center"/>
    </xf>
    <xf numFmtId="164" fontId="49" fillId="37" borderId="92" xfId="5" applyNumberFormat="1" applyFont="1" applyBorder="1" applyAlignment="1">
      <alignment horizontal="center" vertical="center"/>
    </xf>
    <xf numFmtId="0" fontId="9" fillId="28" borderId="58" xfId="10" applyFont="1" applyFill="1" applyBorder="1" applyAlignment="1">
      <alignment horizontal="center" vertical="center"/>
    </xf>
    <xf numFmtId="20" fontId="2" fillId="37" borderId="61" xfId="21" applyNumberFormat="1" applyBorder="1" applyAlignment="1">
      <alignment horizontal="center" vertical="center"/>
    </xf>
    <xf numFmtId="46" fontId="21" fillId="37" borderId="40" xfId="21" applyNumberFormat="1" applyFont="1" applyBorder="1" applyAlignment="1">
      <alignment horizontal="center" vertical="center"/>
    </xf>
    <xf numFmtId="0" fontId="2" fillId="37" borderId="61" xfId="21" applyBorder="1" applyAlignment="1">
      <alignment vertical="center"/>
    </xf>
    <xf numFmtId="46" fontId="21" fillId="37" borderId="89" xfId="21" applyNumberFormat="1" applyFont="1" applyBorder="1" applyAlignment="1">
      <alignment horizontal="center" vertical="center"/>
    </xf>
    <xf numFmtId="164" fontId="2" fillId="37" borderId="61" xfId="21" applyNumberFormat="1" applyBorder="1" applyAlignment="1">
      <alignment horizontal="center" vertical="center"/>
    </xf>
    <xf numFmtId="20" fontId="11" fillId="0" borderId="40" xfId="10" applyNumberFormat="1" applyFont="1" applyBorder="1" applyAlignment="1">
      <alignment horizontal="center" vertical="center"/>
    </xf>
    <xf numFmtId="20" fontId="11" fillId="36" borderId="40" xfId="10" applyNumberFormat="1" applyFont="1" applyFill="1" applyBorder="1" applyAlignment="1">
      <alignment horizontal="center" vertical="center"/>
    </xf>
    <xf numFmtId="0" fontId="7" fillId="48" borderId="41" xfId="10" applyFont="1" applyFill="1" applyBorder="1" applyAlignment="1">
      <alignment horizontal="center" vertical="center"/>
    </xf>
    <xf numFmtId="20" fontId="11" fillId="0" borderId="106" xfId="10" applyNumberFormat="1" applyFont="1" applyBorder="1" applyAlignment="1">
      <alignment horizontal="center" vertical="center"/>
    </xf>
    <xf numFmtId="20" fontId="11" fillId="36" borderId="61" xfId="10" applyNumberFormat="1" applyFont="1" applyFill="1" applyBorder="1" applyAlignment="1">
      <alignment horizontal="center" vertical="center"/>
    </xf>
    <xf numFmtId="20" fontId="11" fillId="0" borderId="61" xfId="10" applyNumberFormat="1" applyFont="1" applyBorder="1" applyAlignment="1">
      <alignment horizontal="center" vertical="center"/>
    </xf>
    <xf numFmtId="46" fontId="21" fillId="37" borderId="68" xfId="21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20" fontId="56" fillId="0" borderId="92" xfId="0" applyNumberFormat="1" applyFont="1" applyBorder="1" applyAlignment="1">
      <alignment vertical="center"/>
    </xf>
    <xf numFmtId="20" fontId="56" fillId="47" borderId="92" xfId="0" applyNumberFormat="1" applyFont="1" applyFill="1" applyBorder="1" applyAlignment="1">
      <alignment vertical="center"/>
    </xf>
    <xf numFmtId="20" fontId="58" fillId="47" borderId="92" xfId="0" applyNumberFormat="1" applyFont="1" applyFill="1" applyBorder="1" applyAlignment="1">
      <alignment vertical="center"/>
    </xf>
    <xf numFmtId="20" fontId="2" fillId="37" borderId="89" xfId="21" applyNumberFormat="1" applyBorder="1" applyAlignment="1">
      <alignment horizontal="center" vertical="center"/>
    </xf>
    <xf numFmtId="20" fontId="11" fillId="47" borderId="40" xfId="21" applyNumberFormat="1" applyFont="1" applyFill="1" applyBorder="1" applyAlignment="1">
      <alignment horizontal="center" vertical="center"/>
    </xf>
    <xf numFmtId="20" fontId="11" fillId="47" borderId="89" xfId="21" applyNumberFormat="1" applyFont="1" applyFill="1" applyBorder="1" applyAlignment="1">
      <alignment horizontal="center" vertical="center"/>
    </xf>
    <xf numFmtId="20" fontId="11" fillId="47" borderId="61" xfId="21" applyNumberFormat="1" applyFont="1" applyFill="1" applyBorder="1" applyAlignment="1">
      <alignment horizontal="center" vertical="center"/>
    </xf>
    <xf numFmtId="0" fontId="2" fillId="37" borderId="40" xfId="21" applyBorder="1" applyAlignment="1">
      <alignment vertical="center"/>
    </xf>
    <xf numFmtId="20" fontId="11" fillId="47" borderId="106" xfId="21" applyNumberFormat="1" applyFont="1" applyFill="1" applyBorder="1" applyAlignment="1">
      <alignment horizontal="center" vertical="center"/>
    </xf>
    <xf numFmtId="164" fontId="2" fillId="37" borderId="40" xfId="21" applyNumberFormat="1" applyBorder="1" applyAlignment="1">
      <alignment horizontal="center" vertical="center"/>
    </xf>
    <xf numFmtId="20" fontId="2" fillId="37" borderId="40" xfId="21" applyNumberFormat="1" applyBorder="1" applyAlignment="1">
      <alignment horizontal="center" vertical="center"/>
    </xf>
    <xf numFmtId="46" fontId="51" fillId="37" borderId="79" xfId="5" applyNumberFormat="1" applyFont="1" applyBorder="1" applyAlignment="1">
      <alignment vertical="center"/>
    </xf>
    <xf numFmtId="20" fontId="38" fillId="42" borderId="91" xfId="19" applyNumberFormat="1" applyFont="1" applyFill="1" applyBorder="1" applyAlignment="1">
      <alignment vertical="center"/>
    </xf>
    <xf numFmtId="46" fontId="38" fillId="42" borderId="48" xfId="19" applyNumberFormat="1" applyFont="1" applyFill="1" applyBorder="1" applyAlignment="1">
      <alignment vertical="center"/>
    </xf>
    <xf numFmtId="46" fontId="34" fillId="0" borderId="51" xfId="19" applyNumberFormat="1" applyFont="1" applyFill="1" applyBorder="1" applyAlignment="1">
      <alignment vertical="center"/>
    </xf>
    <xf numFmtId="46" fontId="34" fillId="3" borderId="51" xfId="19" applyNumberFormat="1" applyFont="1" applyBorder="1" applyAlignment="1">
      <alignment vertical="center"/>
    </xf>
    <xf numFmtId="20" fontId="38" fillId="42" borderId="104" xfId="19" applyNumberFormat="1" applyFont="1" applyFill="1" applyBorder="1" applyAlignment="1">
      <alignment vertical="center"/>
    </xf>
    <xf numFmtId="46" fontId="34" fillId="3" borderId="72" xfId="19" applyNumberFormat="1" applyFont="1" applyBorder="1" applyAlignment="1">
      <alignment vertical="center"/>
    </xf>
    <xf numFmtId="20" fontId="32" fillId="52" borderId="49" xfId="0" applyNumberFormat="1" applyFont="1" applyFill="1" applyBorder="1" applyAlignment="1">
      <alignment vertical="center"/>
    </xf>
    <xf numFmtId="46" fontId="32" fillId="52" borderId="50" xfId="1" applyNumberFormat="1" applyFont="1" applyFill="1" applyBorder="1" applyAlignment="1">
      <alignment vertical="center"/>
    </xf>
    <xf numFmtId="20" fontId="38" fillId="42" borderId="47" xfId="19" applyNumberFormat="1" applyFont="1" applyFill="1" applyBorder="1" applyAlignment="1">
      <alignment vertical="center"/>
    </xf>
    <xf numFmtId="46" fontId="34" fillId="3" borderId="48" xfId="19" applyNumberFormat="1" applyFont="1" applyBorder="1" applyAlignment="1">
      <alignment vertical="center"/>
    </xf>
    <xf numFmtId="20" fontId="38" fillId="42" borderId="52" xfId="19" applyNumberFormat="1" applyFont="1" applyFill="1" applyBorder="1" applyAlignment="1">
      <alignment vertical="center"/>
    </xf>
    <xf numFmtId="46" fontId="34" fillId="0" borderId="85" xfId="19" applyNumberFormat="1" applyFont="1" applyFill="1" applyBorder="1" applyAlignment="1">
      <alignment vertical="center"/>
    </xf>
    <xf numFmtId="46" fontId="34" fillId="3" borderId="85" xfId="19" applyNumberFormat="1" applyFont="1" applyBorder="1" applyAlignment="1">
      <alignment vertical="center"/>
    </xf>
    <xf numFmtId="46" fontId="22" fillId="44" borderId="81" xfId="22" applyNumberFormat="1" applyFont="1" applyBorder="1" applyAlignment="1">
      <alignment vertical="center"/>
    </xf>
    <xf numFmtId="20" fontId="32" fillId="52" borderId="52" xfId="0" applyNumberFormat="1" applyFont="1" applyFill="1" applyBorder="1" applyAlignment="1">
      <alignment vertical="center"/>
    </xf>
    <xf numFmtId="46" fontId="32" fillId="52" borderId="53" xfId="1" applyNumberFormat="1" applyFont="1" applyFill="1" applyBorder="1" applyAlignment="1">
      <alignment vertical="center"/>
    </xf>
    <xf numFmtId="46" fontId="34" fillId="0" borderId="48" xfId="19" applyNumberFormat="1" applyFont="1" applyFill="1" applyBorder="1" applyAlignment="1">
      <alignment vertical="center"/>
    </xf>
    <xf numFmtId="46" fontId="34" fillId="46" borderId="51" xfId="19" applyNumberFormat="1" applyFont="1" applyFill="1" applyBorder="1" applyAlignment="1">
      <alignment vertical="center"/>
    </xf>
    <xf numFmtId="46" fontId="34" fillId="46" borderId="67" xfId="19" applyNumberFormat="1" applyFont="1" applyFill="1" applyBorder="1" applyAlignment="1">
      <alignment vertical="center"/>
    </xf>
    <xf numFmtId="46" fontId="32" fillId="51" borderId="50" xfId="1" applyNumberFormat="1" applyFont="1" applyFill="1" applyBorder="1" applyAlignment="1">
      <alignment vertical="center"/>
    </xf>
    <xf numFmtId="20" fontId="65" fillId="0" borderId="52" xfId="19" applyNumberFormat="1" applyFont="1" applyFill="1" applyBorder="1" applyAlignment="1">
      <alignment vertical="center"/>
    </xf>
    <xf numFmtId="20" fontId="65" fillId="0" borderId="66" xfId="19" applyNumberFormat="1" applyFont="1" applyFill="1" applyBorder="1" applyAlignment="1">
      <alignment vertical="center"/>
    </xf>
    <xf numFmtId="46" fontId="40" fillId="0" borderId="51" xfId="19" applyNumberFormat="1" applyFont="1" applyFill="1" applyBorder="1" applyAlignment="1">
      <alignment vertical="center"/>
    </xf>
    <xf numFmtId="46" fontId="40" fillId="42" borderId="67" xfId="19" applyNumberFormat="1" applyFont="1" applyFill="1" applyBorder="1" applyAlignment="1">
      <alignment vertical="center"/>
    </xf>
    <xf numFmtId="46" fontId="33" fillId="37" borderId="35" xfId="5" applyNumberFormat="1" applyFont="1" applyBorder="1" applyAlignment="1">
      <alignment vertical="center"/>
    </xf>
    <xf numFmtId="46" fontId="34" fillId="3" borderId="67" xfId="19" applyNumberFormat="1" applyFont="1" applyBorder="1" applyAlignment="1">
      <alignment vertical="center"/>
    </xf>
    <xf numFmtId="20" fontId="62" fillId="52" borderId="49" xfId="0" applyNumberFormat="1" applyFont="1" applyFill="1" applyBorder="1" applyAlignment="1">
      <alignment vertical="center"/>
    </xf>
    <xf numFmtId="46" fontId="60" fillId="0" borderId="50" xfId="1" applyNumberFormat="1" applyFont="1" applyFill="1" applyBorder="1" applyAlignment="1">
      <alignment vertical="center"/>
    </xf>
    <xf numFmtId="20" fontId="65" fillId="0" borderId="45" xfId="19" applyNumberFormat="1" applyFont="1" applyFill="1" applyBorder="1" applyAlignment="1">
      <alignment vertical="center"/>
    </xf>
    <xf numFmtId="20" fontId="65" fillId="42" borderId="47" xfId="19" applyNumberFormat="1" applyFont="1" applyFill="1" applyBorder="1" applyAlignment="1">
      <alignment vertical="center"/>
    </xf>
    <xf numFmtId="46" fontId="33" fillId="37" borderId="38" xfId="5" applyNumberFormat="1" applyFont="1" applyBorder="1" applyAlignment="1">
      <alignment vertical="center"/>
    </xf>
    <xf numFmtId="20" fontId="5" fillId="37" borderId="92" xfId="8" applyNumberFormat="1" applyBorder="1" applyAlignment="1">
      <alignment vertical="center"/>
    </xf>
    <xf numFmtId="0" fontId="9" fillId="28" borderId="107" xfId="10" applyFont="1" applyFill="1" applyBorder="1" applyAlignment="1">
      <alignment horizontal="center" vertical="center"/>
    </xf>
    <xf numFmtId="20" fontId="11" fillId="0" borderId="89" xfId="10" applyNumberFormat="1" applyFont="1" applyBorder="1" applyAlignment="1">
      <alignment horizontal="center" vertical="center"/>
    </xf>
    <xf numFmtId="0" fontId="2" fillId="37" borderId="65" xfId="21" applyBorder="1" applyAlignment="1">
      <alignment vertical="center"/>
    </xf>
    <xf numFmtId="164" fontId="2" fillId="37" borderId="89" xfId="21" applyNumberFormat="1" applyBorder="1" applyAlignment="1">
      <alignment horizontal="center" vertical="center"/>
    </xf>
    <xf numFmtId="46" fontId="21" fillId="37" borderId="57" xfId="21" applyNumberFormat="1" applyFont="1" applyBorder="1" applyAlignment="1">
      <alignment horizontal="center" vertical="center"/>
    </xf>
    <xf numFmtId="20" fontId="30" fillId="0" borderId="16" xfId="0" applyNumberFormat="1" applyFont="1" applyBorder="1" applyAlignment="1">
      <alignment vertical="center"/>
    </xf>
    <xf numFmtId="1" fontId="38" fillId="42" borderId="48" xfId="19" applyNumberFormat="1" applyFont="1" applyFill="1" applyBorder="1" applyAlignment="1">
      <alignment horizontal="right" vertical="center"/>
    </xf>
    <xf numFmtId="0" fontId="38" fillId="42" borderId="48" xfId="19" applyFont="1" applyFill="1" applyBorder="1" applyAlignment="1">
      <alignment horizontal="right" vertical="center"/>
    </xf>
    <xf numFmtId="46" fontId="38" fillId="42" borderId="48" xfId="19" applyNumberFormat="1" applyFont="1" applyFill="1" applyBorder="1" applyAlignment="1">
      <alignment horizontal="right" vertical="center"/>
    </xf>
    <xf numFmtId="1" fontId="34" fillId="0" borderId="51" xfId="19" applyNumberFormat="1" applyFont="1" applyFill="1" applyBorder="1" applyAlignment="1">
      <alignment horizontal="right" vertical="center"/>
    </xf>
    <xf numFmtId="0" fontId="34" fillId="0" borderId="51" xfId="19" applyFont="1" applyFill="1" applyBorder="1" applyAlignment="1">
      <alignment horizontal="right" vertical="center"/>
    </xf>
    <xf numFmtId="46" fontId="34" fillId="0" borderId="51" xfId="19" applyNumberFormat="1" applyFont="1" applyFill="1" applyBorder="1" applyAlignment="1">
      <alignment horizontal="right" vertical="center"/>
    </xf>
    <xf numFmtId="1" fontId="34" fillId="3" borderId="51" xfId="19" applyNumberFormat="1" applyFont="1" applyBorder="1" applyAlignment="1">
      <alignment horizontal="right" vertical="center"/>
    </xf>
    <xf numFmtId="0" fontId="34" fillId="3" borderId="51" xfId="19" applyFont="1" applyBorder="1" applyAlignment="1">
      <alignment horizontal="right" vertical="center"/>
    </xf>
    <xf numFmtId="46" fontId="34" fillId="3" borderId="51" xfId="19" applyNumberFormat="1" applyFont="1" applyBorder="1" applyAlignment="1">
      <alignment horizontal="right" vertical="center"/>
    </xf>
    <xf numFmtId="1" fontId="34" fillId="3" borderId="72" xfId="19" applyNumberFormat="1" applyFont="1" applyBorder="1" applyAlignment="1">
      <alignment horizontal="right" vertical="center"/>
    </xf>
    <xf numFmtId="0" fontId="34" fillId="3" borderId="72" xfId="19" applyFont="1" applyBorder="1" applyAlignment="1">
      <alignment horizontal="right" vertical="center"/>
    </xf>
    <xf numFmtId="46" fontId="34" fillId="3" borderId="72" xfId="19" applyNumberFormat="1" applyFont="1" applyBorder="1" applyAlignment="1">
      <alignment horizontal="right" vertical="center"/>
    </xf>
    <xf numFmtId="1" fontId="29" fillId="0" borderId="50" xfId="0" applyNumberFormat="1" applyFont="1" applyBorder="1" applyAlignment="1">
      <alignment horizontal="right" vertical="center"/>
    </xf>
    <xf numFmtId="0" fontId="29" fillId="0" borderId="50" xfId="0" applyFont="1" applyBorder="1" applyAlignment="1">
      <alignment horizontal="right" vertical="center"/>
    </xf>
    <xf numFmtId="46" fontId="32" fillId="0" borderId="50" xfId="1" applyNumberFormat="1" applyFont="1" applyFill="1" applyBorder="1" applyAlignment="1">
      <alignment horizontal="right" vertical="center"/>
    </xf>
    <xf numFmtId="1" fontId="34" fillId="3" borderId="48" xfId="19" applyNumberFormat="1" applyFont="1" applyBorder="1" applyAlignment="1">
      <alignment horizontal="right" vertical="center"/>
    </xf>
    <xf numFmtId="0" fontId="34" fillId="3" borderId="48" xfId="19" applyFont="1" applyBorder="1" applyAlignment="1">
      <alignment horizontal="right" vertical="center"/>
    </xf>
    <xf numFmtId="46" fontId="34" fillId="3" borderId="48" xfId="19" applyNumberFormat="1" applyFont="1" applyBorder="1" applyAlignment="1">
      <alignment horizontal="right" vertical="center"/>
    </xf>
    <xf numFmtId="46" fontId="34" fillId="0" borderId="85" xfId="19" applyNumberFormat="1" applyFont="1" applyFill="1" applyBorder="1" applyAlignment="1">
      <alignment horizontal="right" vertical="center"/>
    </xf>
    <xf numFmtId="46" fontId="34" fillId="3" borderId="85" xfId="19" applyNumberFormat="1" applyFont="1" applyBorder="1" applyAlignment="1">
      <alignment horizontal="right" vertical="center"/>
    </xf>
    <xf numFmtId="1" fontId="22" fillId="44" borderId="80" xfId="22" applyNumberFormat="1" applyFont="1" applyBorder="1" applyAlignment="1">
      <alignment horizontal="right" vertical="center"/>
    </xf>
    <xf numFmtId="0" fontId="22" fillId="44" borderId="80" xfId="22" applyFont="1" applyBorder="1" applyAlignment="1">
      <alignment horizontal="right" vertical="center"/>
    </xf>
    <xf numFmtId="46" fontId="22" fillId="44" borderId="81" xfId="22" applyNumberFormat="1" applyFont="1" applyBorder="1" applyAlignment="1">
      <alignment horizontal="right" vertical="center"/>
    </xf>
    <xf numFmtId="1" fontId="29" fillId="0" borderId="53" xfId="0" applyNumberFormat="1" applyFont="1" applyBorder="1" applyAlignment="1">
      <alignment horizontal="right" vertical="center"/>
    </xf>
    <xf numFmtId="0" fontId="29" fillId="0" borderId="53" xfId="0" applyFont="1" applyBorder="1" applyAlignment="1">
      <alignment horizontal="right" vertical="center"/>
    </xf>
    <xf numFmtId="46" fontId="32" fillId="0" borderId="53" xfId="1" applyNumberFormat="1" applyFont="1" applyFill="1" applyBorder="1" applyAlignment="1">
      <alignment horizontal="right" vertical="center"/>
    </xf>
    <xf numFmtId="1" fontId="34" fillId="0" borderId="48" xfId="19" applyNumberFormat="1" applyFont="1" applyFill="1" applyBorder="1" applyAlignment="1">
      <alignment horizontal="right" vertical="center"/>
    </xf>
    <xf numFmtId="0" fontId="34" fillId="0" borderId="48" xfId="19" applyFont="1" applyFill="1" applyBorder="1" applyAlignment="1">
      <alignment horizontal="right" vertical="center"/>
    </xf>
    <xf numFmtId="46" fontId="34" fillId="0" borderId="48" xfId="19" applyNumberFormat="1" applyFont="1" applyFill="1" applyBorder="1" applyAlignment="1">
      <alignment horizontal="right" vertical="center"/>
    </xf>
    <xf numFmtId="1" fontId="34" fillId="46" borderId="51" xfId="19" applyNumberFormat="1" applyFont="1" applyFill="1" applyBorder="1" applyAlignment="1">
      <alignment horizontal="right" vertical="center"/>
    </xf>
    <xf numFmtId="0" fontId="34" fillId="46" borderId="51" xfId="19" applyFont="1" applyFill="1" applyBorder="1" applyAlignment="1">
      <alignment horizontal="right" vertical="center"/>
    </xf>
    <xf numFmtId="46" fontId="34" fillId="46" borderId="51" xfId="19" applyNumberFormat="1" applyFont="1" applyFill="1" applyBorder="1" applyAlignment="1">
      <alignment horizontal="right" vertical="center"/>
    </xf>
    <xf numFmtId="1" fontId="34" fillId="46" borderId="67" xfId="19" applyNumberFormat="1" applyFont="1" applyFill="1" applyBorder="1" applyAlignment="1">
      <alignment horizontal="right" vertical="center"/>
    </xf>
    <xf numFmtId="0" fontId="34" fillId="46" borderId="67" xfId="19" applyFont="1" applyFill="1" applyBorder="1" applyAlignment="1">
      <alignment horizontal="right" vertical="center"/>
    </xf>
    <xf numFmtId="46" fontId="34" fillId="46" borderId="67" xfId="19" applyNumberFormat="1" applyFont="1" applyFill="1" applyBorder="1" applyAlignment="1">
      <alignment horizontal="right" vertical="center"/>
    </xf>
    <xf numFmtId="1" fontId="40" fillId="0" borderId="51" xfId="19" applyNumberFormat="1" applyFont="1" applyFill="1" applyBorder="1" applyAlignment="1">
      <alignment horizontal="right" vertical="center"/>
    </xf>
    <xf numFmtId="0" fontId="40" fillId="0" borderId="51" xfId="19" applyFont="1" applyFill="1" applyBorder="1" applyAlignment="1">
      <alignment horizontal="right" vertical="center"/>
    </xf>
    <xf numFmtId="46" fontId="40" fillId="0" borderId="51" xfId="19" applyNumberFormat="1" applyFont="1" applyFill="1" applyBorder="1" applyAlignment="1">
      <alignment horizontal="right" vertical="center"/>
    </xf>
    <xf numFmtId="1" fontId="40" fillId="42" borderId="67" xfId="19" applyNumberFormat="1" applyFont="1" applyFill="1" applyBorder="1" applyAlignment="1">
      <alignment horizontal="right" vertical="center"/>
    </xf>
    <xf numFmtId="0" fontId="40" fillId="42" borderId="67" xfId="19" applyFont="1" applyFill="1" applyBorder="1" applyAlignment="1">
      <alignment horizontal="right" vertical="center"/>
    </xf>
    <xf numFmtId="46" fontId="40" fillId="42" borderId="67" xfId="19" applyNumberFormat="1" applyFont="1" applyFill="1" applyBorder="1" applyAlignment="1">
      <alignment horizontal="right" vertical="center"/>
    </xf>
    <xf numFmtId="46" fontId="22" fillId="37" borderId="38" xfId="5" applyNumberFormat="1" applyFont="1" applyBorder="1" applyAlignment="1">
      <alignment horizontal="right" vertical="center"/>
    </xf>
    <xf numFmtId="46" fontId="33" fillId="37" borderId="35" xfId="5" applyNumberFormat="1" applyFont="1" applyBorder="1" applyAlignment="1">
      <alignment horizontal="right" vertical="center"/>
    </xf>
    <xf numFmtId="46" fontId="7" fillId="36" borderId="90" xfId="0" applyNumberFormat="1" applyFont="1" applyFill="1" applyBorder="1" applyAlignment="1">
      <alignment horizontal="right" vertical="center"/>
    </xf>
    <xf numFmtId="46" fontId="7" fillId="36" borderId="93" xfId="0" applyNumberFormat="1" applyFont="1" applyFill="1" applyBorder="1" applyAlignment="1">
      <alignment horizontal="right" vertical="center"/>
    </xf>
    <xf numFmtId="46" fontId="64" fillId="55" borderId="108" xfId="7" applyNumberFormat="1" applyFont="1" applyFill="1" applyBorder="1" applyAlignment="1">
      <alignment horizontal="right" vertical="center"/>
    </xf>
    <xf numFmtId="46" fontId="7" fillId="36" borderId="108" xfId="0" applyNumberFormat="1" applyFont="1" applyFill="1" applyBorder="1" applyAlignment="1">
      <alignment horizontal="right" vertical="center"/>
    </xf>
    <xf numFmtId="46" fontId="7" fillId="36" borderId="100" xfId="0" applyNumberFormat="1" applyFont="1" applyFill="1" applyBorder="1" applyAlignment="1">
      <alignment horizontal="right" vertical="center"/>
    </xf>
    <xf numFmtId="0" fontId="7" fillId="48" borderId="52" xfId="10" applyFont="1" applyFill="1" applyBorder="1" applyAlignment="1">
      <alignment horizontal="center" vertical="center"/>
    </xf>
    <xf numFmtId="20" fontId="54" fillId="49" borderId="92" xfId="0" applyNumberFormat="1" applyFont="1" applyFill="1" applyBorder="1" applyAlignment="1">
      <alignment vertical="center"/>
    </xf>
    <xf numFmtId="20" fontId="5" fillId="37" borderId="106" xfId="8" applyNumberFormat="1" applyBorder="1" applyAlignment="1">
      <alignment vertical="center"/>
    </xf>
    <xf numFmtId="46" fontId="21" fillId="37" borderId="88" xfId="5" applyNumberFormat="1" applyFont="1" applyBorder="1" applyAlignment="1">
      <alignment vertical="center"/>
    </xf>
    <xf numFmtId="1" fontId="34" fillId="3" borderId="67" xfId="19" applyNumberFormat="1" applyFont="1" applyBorder="1" applyAlignment="1">
      <alignment horizontal="right" vertical="center"/>
    </xf>
    <xf numFmtId="0" fontId="34" fillId="3" borderId="67" xfId="19" applyFont="1" applyBorder="1" applyAlignment="1">
      <alignment horizontal="right" vertical="center"/>
    </xf>
    <xf numFmtId="46" fontId="34" fillId="3" borderId="67" xfId="19" applyNumberFormat="1" applyFont="1" applyBorder="1" applyAlignment="1">
      <alignment horizontal="right" vertical="center"/>
    </xf>
    <xf numFmtId="46" fontId="33" fillId="37" borderId="38" xfId="5" applyNumberFormat="1" applyFont="1" applyBorder="1" applyAlignment="1">
      <alignment horizontal="right" vertical="center"/>
    </xf>
    <xf numFmtId="0" fontId="39" fillId="47" borderId="43" xfId="19" applyFont="1" applyFill="1" applyBorder="1" applyAlignment="1">
      <alignment vertical="center" wrapText="1"/>
    </xf>
    <xf numFmtId="0" fontId="33" fillId="47" borderId="43" xfId="19" applyFont="1" applyFill="1" applyBorder="1" applyAlignment="1">
      <alignment vertical="center" wrapText="1"/>
    </xf>
    <xf numFmtId="0" fontId="33" fillId="47" borderId="84" xfId="19" applyFont="1" applyFill="1" applyBorder="1" applyAlignment="1">
      <alignment vertical="center" wrapText="1"/>
    </xf>
    <xf numFmtId="0" fontId="66" fillId="42" borderId="43" xfId="19" applyFont="1" applyFill="1" applyBorder="1" applyAlignment="1">
      <alignment vertical="center" wrapText="1"/>
    </xf>
    <xf numFmtId="20" fontId="67" fillId="42" borderId="46" xfId="19" applyNumberFormat="1" applyFont="1" applyFill="1" applyBorder="1" applyAlignment="1">
      <alignment horizontal="right" vertical="center"/>
    </xf>
    <xf numFmtId="14" fontId="33" fillId="42" borderId="43" xfId="0" applyNumberFormat="1" applyFont="1" applyFill="1" applyBorder="1" applyAlignment="1">
      <alignment horizontal="left" vertical="center"/>
    </xf>
    <xf numFmtId="46" fontId="64" fillId="42" borderId="48" xfId="0" applyNumberFormat="1" applyFont="1" applyFill="1" applyBorder="1" applyAlignment="1">
      <alignment horizontal="right" vertical="center"/>
    </xf>
    <xf numFmtId="46" fontId="64" fillId="42" borderId="69" xfId="0" applyNumberFormat="1" applyFont="1" applyFill="1" applyBorder="1" applyAlignment="1">
      <alignment horizontal="right" vertical="center"/>
    </xf>
    <xf numFmtId="20" fontId="67" fillId="42" borderId="44" xfId="19" applyNumberFormat="1" applyFont="1" applyFill="1" applyBorder="1" applyAlignment="1">
      <alignment horizontal="right" vertical="center"/>
    </xf>
    <xf numFmtId="14" fontId="33" fillId="42" borderId="40" xfId="0" applyNumberFormat="1" applyFont="1" applyFill="1" applyBorder="1" applyAlignment="1">
      <alignment horizontal="left" vertical="center"/>
    </xf>
    <xf numFmtId="46" fontId="64" fillId="42" borderId="78" xfId="0" applyNumberFormat="1" applyFont="1" applyFill="1" applyBorder="1" applyAlignment="1">
      <alignment horizontal="right" vertical="center"/>
    </xf>
    <xf numFmtId="46" fontId="64" fillId="42" borderId="79" xfId="0" applyNumberFormat="1" applyFont="1" applyFill="1" applyBorder="1" applyAlignment="1">
      <alignment horizontal="right" vertical="center"/>
    </xf>
    <xf numFmtId="20" fontId="64" fillId="55" borderId="44" xfId="7" applyNumberFormat="1" applyFont="1" applyFill="1" applyBorder="1" applyAlignment="1">
      <alignment horizontal="right" vertical="center"/>
    </xf>
    <xf numFmtId="14" fontId="33" fillId="42" borderId="40" xfId="19" applyNumberFormat="1" applyFont="1" applyFill="1" applyBorder="1" applyAlignment="1">
      <alignment horizontal="left" vertical="center"/>
    </xf>
    <xf numFmtId="46" fontId="64" fillId="42" borderId="81" xfId="0" applyNumberFormat="1" applyFont="1" applyFill="1" applyBorder="1" applyAlignment="1">
      <alignment horizontal="right" vertical="center"/>
    </xf>
    <xf numFmtId="46" fontId="64" fillId="42" borderId="108" xfId="0" applyNumberFormat="1" applyFont="1" applyFill="1" applyBorder="1" applyAlignment="1">
      <alignment horizontal="right" vertical="center"/>
    </xf>
    <xf numFmtId="46" fontId="64" fillId="42" borderId="100" xfId="0" applyNumberFormat="1" applyFont="1" applyFill="1" applyBorder="1" applyAlignment="1">
      <alignment horizontal="right" vertical="center"/>
    </xf>
    <xf numFmtId="46" fontId="7" fillId="36" borderId="91" xfId="0" applyNumberFormat="1" applyFont="1" applyFill="1" applyBorder="1" applyAlignment="1">
      <alignment horizontal="right" vertical="center"/>
    </xf>
    <xf numFmtId="46" fontId="64" fillId="42" borderId="101" xfId="0" applyNumberFormat="1" applyFont="1" applyFill="1" applyBorder="1" applyAlignment="1">
      <alignment horizontal="right" vertical="center"/>
    </xf>
    <xf numFmtId="46" fontId="64" fillId="42" borderId="50" xfId="0" applyNumberFormat="1" applyFont="1" applyFill="1" applyBorder="1" applyAlignment="1">
      <alignment horizontal="right" vertical="center"/>
    </xf>
    <xf numFmtId="46" fontId="7" fillId="36" borderId="104" xfId="0" applyNumberFormat="1" applyFont="1" applyFill="1" applyBorder="1" applyAlignment="1">
      <alignment horizontal="right" vertical="center"/>
    </xf>
    <xf numFmtId="46" fontId="7" fillId="36" borderId="109" xfId="0" applyNumberFormat="1" applyFont="1" applyFill="1" applyBorder="1" applyAlignment="1">
      <alignment horizontal="right" vertical="center"/>
    </xf>
    <xf numFmtId="46" fontId="64" fillId="55" borderId="93" xfId="7" applyNumberFormat="1" applyFont="1" applyFill="1" applyBorder="1" applyAlignment="1">
      <alignment horizontal="right" vertical="center"/>
    </xf>
    <xf numFmtId="46" fontId="7" fillId="36" borderId="103" xfId="0" applyNumberFormat="1" applyFont="1" applyFill="1" applyBorder="1" applyAlignment="1">
      <alignment horizontal="right" vertical="center"/>
    </xf>
    <xf numFmtId="46" fontId="64" fillId="42" borderId="55" xfId="0" applyNumberFormat="1" applyFont="1" applyFill="1" applyBorder="1" applyAlignment="1">
      <alignment horizontal="right" vertical="center"/>
    </xf>
    <xf numFmtId="46" fontId="64" fillId="42" borderId="82" xfId="0" applyNumberFormat="1" applyFont="1" applyFill="1" applyBorder="1" applyAlignment="1">
      <alignment horizontal="right" vertical="center"/>
    </xf>
    <xf numFmtId="0" fontId="32" fillId="0" borderId="50" xfId="0" applyFont="1" applyBorder="1" applyAlignment="1">
      <alignment vertical="center"/>
    </xf>
    <xf numFmtId="46" fontId="32" fillId="0" borderId="50" xfId="1" applyNumberFormat="1" applyFont="1" applyFill="1" applyBorder="1" applyAlignment="1">
      <alignment vertical="center"/>
    </xf>
    <xf numFmtId="46" fontId="32" fillId="0" borderId="53" xfId="1" applyNumberFormat="1" applyFont="1" applyFill="1" applyBorder="1" applyAlignment="1">
      <alignment vertical="center"/>
    </xf>
    <xf numFmtId="20" fontId="11" fillId="0" borderId="57" xfId="10" applyNumberFormat="1" applyFont="1" applyBorder="1" applyAlignment="1">
      <alignment horizontal="center" vertical="center"/>
    </xf>
    <xf numFmtId="46" fontId="21" fillId="37" borderId="41" xfId="21" applyNumberFormat="1" applyFont="1" applyBorder="1" applyAlignment="1">
      <alignment horizontal="center" vertical="center"/>
    </xf>
    <xf numFmtId="0" fontId="2" fillId="37" borderId="110" xfId="21" applyBorder="1" applyAlignment="1">
      <alignment vertical="center"/>
    </xf>
    <xf numFmtId="46" fontId="21" fillId="37" borderId="42" xfId="21" applyNumberFormat="1" applyFont="1" applyBorder="1" applyAlignment="1">
      <alignment horizontal="center" vertical="center"/>
    </xf>
    <xf numFmtId="164" fontId="2" fillId="37" borderId="41" xfId="21" applyNumberFormat="1" applyBorder="1" applyAlignment="1">
      <alignment horizontal="center" vertical="center"/>
    </xf>
    <xf numFmtId="0" fontId="9" fillId="28" borderId="16" xfId="10" applyFont="1" applyFill="1" applyBorder="1" applyAlignment="1">
      <alignment horizontal="center" vertical="center"/>
    </xf>
    <xf numFmtId="20" fontId="2" fillId="37" borderId="16" xfId="21" applyNumberFormat="1" applyBorder="1" applyAlignment="1">
      <alignment vertical="center"/>
    </xf>
    <xf numFmtId="0" fontId="2" fillId="37" borderId="38" xfId="21" applyBorder="1" applyAlignment="1">
      <alignment vertical="center"/>
    </xf>
    <xf numFmtId="0" fontId="2" fillId="37" borderId="31" xfId="21" applyBorder="1" applyAlignment="1">
      <alignment vertical="center"/>
    </xf>
    <xf numFmtId="164" fontId="2" fillId="37" borderId="38" xfId="21" applyNumberFormat="1" applyBorder="1" applyAlignment="1">
      <alignment horizontal="center" vertical="center"/>
    </xf>
    <xf numFmtId="46" fontId="21" fillId="37" borderId="38" xfId="21" applyNumberFormat="1" applyFont="1" applyBorder="1" applyAlignment="1">
      <alignment vertical="center"/>
    </xf>
    <xf numFmtId="0" fontId="9" fillId="28" borderId="43" xfId="10" applyFont="1" applyFill="1" applyBorder="1" applyAlignment="1">
      <alignment horizontal="center" vertical="center"/>
    </xf>
    <xf numFmtId="0" fontId="41" fillId="42" borderId="43" xfId="19" applyFont="1" applyFill="1" applyBorder="1" applyAlignment="1">
      <alignment vertical="center" wrapText="1"/>
    </xf>
    <xf numFmtId="14" fontId="32" fillId="42" borderId="43" xfId="0" applyNumberFormat="1" applyFont="1" applyFill="1" applyBorder="1" applyAlignment="1">
      <alignment horizontal="left" vertical="center"/>
    </xf>
    <xf numFmtId="46" fontId="29" fillId="42" borderId="48" xfId="0" applyNumberFormat="1" applyFont="1" applyFill="1" applyBorder="1" applyAlignment="1">
      <alignment horizontal="right" vertical="center"/>
    </xf>
    <xf numFmtId="46" fontId="29" fillId="42" borderId="69" xfId="0" applyNumberFormat="1" applyFont="1" applyFill="1" applyBorder="1" applyAlignment="1">
      <alignment horizontal="right" vertical="center"/>
    </xf>
    <xf numFmtId="0" fontId="32" fillId="47" borderId="40" xfId="19" applyFont="1" applyFill="1" applyBorder="1" applyAlignment="1">
      <alignment vertical="center" wrapText="1"/>
    </xf>
    <xf numFmtId="20" fontId="40" fillId="42" borderId="44" xfId="19" applyNumberFormat="1" applyFont="1" applyFill="1" applyBorder="1" applyAlignment="1">
      <alignment horizontal="right" vertical="center"/>
    </xf>
    <xf numFmtId="14" fontId="32" fillId="42" borderId="40" xfId="0" applyNumberFormat="1" applyFont="1" applyFill="1" applyBorder="1" applyAlignment="1">
      <alignment horizontal="left" vertical="center"/>
    </xf>
    <xf numFmtId="46" fontId="29" fillId="42" borderId="78" xfId="0" applyNumberFormat="1" applyFont="1" applyFill="1" applyBorder="1" applyAlignment="1">
      <alignment horizontal="right" vertical="center"/>
    </xf>
    <xf numFmtId="46" fontId="29" fillId="42" borderId="79" xfId="0" applyNumberFormat="1" applyFont="1" applyFill="1" applyBorder="1" applyAlignment="1">
      <alignment horizontal="right" vertical="center"/>
    </xf>
    <xf numFmtId="0" fontId="32" fillId="42" borderId="40" xfId="19" applyFont="1" applyFill="1" applyBorder="1" applyAlignment="1">
      <alignment vertical="center" wrapText="1"/>
    </xf>
    <xf numFmtId="20" fontId="29" fillId="55" borderId="44" xfId="7" applyNumberFormat="1" applyFont="1" applyFill="1" applyBorder="1" applyAlignment="1">
      <alignment horizontal="right" vertical="center"/>
    </xf>
    <xf numFmtId="14" fontId="32" fillId="42" borderId="40" xfId="19" applyNumberFormat="1" applyFont="1" applyFill="1" applyBorder="1" applyAlignment="1">
      <alignment horizontal="left" vertical="center"/>
    </xf>
    <xf numFmtId="46" fontId="29" fillId="55" borderId="78" xfId="7" applyNumberFormat="1" applyFont="1" applyFill="1" applyBorder="1" applyAlignment="1">
      <alignment horizontal="right" vertical="center"/>
    </xf>
    <xf numFmtId="46" fontId="29" fillId="55" borderId="79" xfId="7" applyNumberFormat="1" applyFont="1" applyFill="1" applyBorder="1" applyAlignment="1">
      <alignment horizontal="right" vertical="center"/>
    </xf>
    <xf numFmtId="0" fontId="32" fillId="42" borderId="68" xfId="19" applyFont="1" applyFill="1" applyBorder="1" applyAlignment="1">
      <alignment vertical="center" wrapText="1"/>
    </xf>
    <xf numFmtId="46" fontId="29" fillId="42" borderId="81" xfId="0" applyNumberFormat="1" applyFont="1" applyFill="1" applyBorder="1" applyAlignment="1">
      <alignment horizontal="right" vertical="center"/>
    </xf>
    <xf numFmtId="0" fontId="32" fillId="42" borderId="43" xfId="19" applyFont="1" applyFill="1" applyBorder="1" applyAlignment="1">
      <alignment vertical="center" wrapText="1"/>
    </xf>
    <xf numFmtId="0" fontId="32" fillId="47" borderId="84" xfId="19" applyFont="1" applyFill="1" applyBorder="1" applyAlignment="1">
      <alignment vertical="center" wrapText="1"/>
    </xf>
    <xf numFmtId="46" fontId="68" fillId="55" borderId="86" xfId="22" applyNumberFormat="1" applyFont="1" applyFill="1" applyBorder="1" applyAlignment="1">
      <alignment horizontal="left" vertical="center" wrapText="1"/>
    </xf>
    <xf numFmtId="0" fontId="32" fillId="42" borderId="84" xfId="19" applyFont="1" applyFill="1" applyBorder="1" applyAlignment="1">
      <alignment vertical="center" wrapText="1"/>
    </xf>
    <xf numFmtId="0" fontId="32" fillId="47" borderId="68" xfId="19" applyFont="1" applyFill="1" applyBorder="1" applyAlignment="1">
      <alignment vertical="center" wrapText="1"/>
    </xf>
    <xf numFmtId="46" fontId="68" fillId="55" borderId="68" xfId="22" applyNumberFormat="1" applyFont="1" applyFill="1" applyBorder="1" applyAlignment="1">
      <alignment horizontal="left" vertical="center" wrapText="1"/>
    </xf>
    <xf numFmtId="46" fontId="29" fillId="55" borderId="108" xfId="7" applyNumberFormat="1" applyFont="1" applyFill="1" applyBorder="1" applyAlignment="1">
      <alignment horizontal="right" vertical="center"/>
    </xf>
    <xf numFmtId="46" fontId="29" fillId="42" borderId="108" xfId="0" applyNumberFormat="1" applyFont="1" applyFill="1" applyBorder="1" applyAlignment="1">
      <alignment horizontal="right" vertical="center"/>
    </xf>
    <xf numFmtId="46" fontId="29" fillId="42" borderId="100" xfId="0" applyNumberFormat="1" applyFont="1" applyFill="1" applyBorder="1" applyAlignment="1">
      <alignment horizontal="right" vertical="center"/>
    </xf>
    <xf numFmtId="46" fontId="29" fillId="42" borderId="99" xfId="0" applyNumberFormat="1" applyFont="1" applyFill="1" applyBorder="1" applyAlignment="1">
      <alignment horizontal="right" vertical="center"/>
    </xf>
    <xf numFmtId="46" fontId="29" fillId="42" borderId="82" xfId="0" applyNumberFormat="1" applyFont="1" applyFill="1" applyBorder="1" applyAlignment="1">
      <alignment horizontal="right" vertical="center"/>
    </xf>
    <xf numFmtId="20" fontId="2" fillId="37" borderId="78" xfId="21" applyNumberFormat="1" applyBorder="1" applyAlignment="1">
      <alignment horizontal="center" vertical="center"/>
    </xf>
    <xf numFmtId="0" fontId="32" fillId="47" borderId="43" xfId="19" applyFont="1" applyFill="1" applyBorder="1" applyAlignment="1">
      <alignment vertical="center" wrapText="1"/>
    </xf>
    <xf numFmtId="20" fontId="2" fillId="37" borderId="42" xfId="21" applyNumberFormat="1" applyBorder="1" applyAlignment="1">
      <alignment horizontal="center" vertical="center"/>
    </xf>
    <xf numFmtId="20" fontId="11" fillId="47" borderId="40" xfId="10" applyNumberFormat="1" applyFont="1" applyFill="1" applyBorder="1" applyAlignment="1">
      <alignment horizontal="center" vertical="center"/>
    </xf>
    <xf numFmtId="20" fontId="11" fillId="42" borderId="40" xfId="10" applyNumberFormat="1" applyFont="1" applyFill="1" applyBorder="1" applyAlignment="1">
      <alignment horizontal="center" vertical="center"/>
    </xf>
    <xf numFmtId="14" fontId="8" fillId="48" borderId="78" xfId="0" applyNumberFormat="1" applyFont="1" applyFill="1" applyBorder="1" applyAlignment="1">
      <alignment horizontal="left" vertical="center"/>
    </xf>
    <xf numFmtId="20" fontId="10" fillId="48" borderId="78" xfId="0" applyNumberFormat="1" applyFont="1" applyFill="1" applyBorder="1" applyAlignment="1">
      <alignment vertical="center"/>
    </xf>
    <xf numFmtId="20" fontId="53" fillId="48" borderId="78" xfId="0" applyNumberFormat="1" applyFont="1" applyFill="1" applyBorder="1" applyAlignment="1">
      <alignment vertical="center"/>
    </xf>
    <xf numFmtId="20" fontId="54" fillId="48" borderId="92" xfId="0" applyNumberFormat="1" applyFont="1" applyFill="1" applyBorder="1" applyAlignment="1">
      <alignment vertical="center"/>
    </xf>
    <xf numFmtId="20" fontId="57" fillId="48" borderId="78" xfId="0" applyNumberFormat="1" applyFont="1" applyFill="1" applyBorder="1" applyAlignment="1">
      <alignment vertical="center"/>
    </xf>
    <xf numFmtId="14" fontId="8" fillId="56" borderId="78" xfId="0" applyNumberFormat="1" applyFont="1" applyFill="1" applyBorder="1" applyAlignment="1">
      <alignment horizontal="left" vertical="center"/>
    </xf>
    <xf numFmtId="20" fontId="10" fillId="48" borderId="92" xfId="0" applyNumberFormat="1" applyFont="1" applyFill="1" applyBorder="1" applyAlignment="1">
      <alignment vertical="center"/>
    </xf>
    <xf numFmtId="20" fontId="45" fillId="48" borderId="92" xfId="0" applyNumberFormat="1" applyFont="1" applyFill="1" applyBorder="1" applyAlignment="1">
      <alignment vertical="center"/>
    </xf>
    <xf numFmtId="20" fontId="57" fillId="49" borderId="78" xfId="0" applyNumberFormat="1" applyFont="1" applyFill="1" applyBorder="1" applyAlignment="1">
      <alignment vertical="center"/>
    </xf>
    <xf numFmtId="20" fontId="58" fillId="49" borderId="92" xfId="0" applyNumberFormat="1" applyFont="1" applyFill="1" applyBorder="1" applyAlignment="1">
      <alignment vertical="center"/>
    </xf>
    <xf numFmtId="20" fontId="55" fillId="48" borderId="78" xfId="0" applyNumberFormat="1" applyFont="1" applyFill="1" applyBorder="1" applyAlignment="1">
      <alignment vertical="center"/>
    </xf>
    <xf numFmtId="20" fontId="11" fillId="47" borderId="61" xfId="10" applyNumberFormat="1" applyFont="1" applyFill="1" applyBorder="1" applyAlignment="1">
      <alignment horizontal="center" vertical="center"/>
    </xf>
    <xf numFmtId="20" fontId="2" fillId="47" borderId="89" xfId="21" applyNumberFormat="1" applyFill="1" applyBorder="1" applyAlignment="1">
      <alignment horizontal="center" vertical="center"/>
    </xf>
    <xf numFmtId="20" fontId="50" fillId="48" borderId="78" xfId="0" applyNumberFormat="1" applyFont="1" applyFill="1" applyBorder="1" applyAlignment="1">
      <alignment vertical="center"/>
    </xf>
    <xf numFmtId="14" fontId="8" fillId="47" borderId="78" xfId="0" applyNumberFormat="1" applyFont="1" applyFill="1" applyBorder="1" applyAlignment="1">
      <alignment horizontal="left" vertical="center"/>
    </xf>
    <xf numFmtId="20" fontId="69" fillId="47" borderId="78" xfId="0" applyNumberFormat="1" applyFont="1" applyFill="1" applyBorder="1" applyAlignment="1">
      <alignment vertical="center"/>
    </xf>
    <xf numFmtId="20" fontId="70" fillId="47" borderId="92" xfId="0" applyNumberFormat="1" applyFont="1" applyFill="1" applyBorder="1" applyAlignment="1">
      <alignment vertical="center"/>
    </xf>
    <xf numFmtId="20" fontId="11" fillId="0" borderId="40" xfId="10" applyNumberFormat="1" applyFont="1" applyFill="1" applyBorder="1" applyAlignment="1">
      <alignment horizontal="center" vertical="center"/>
    </xf>
    <xf numFmtId="14" fontId="8" fillId="0" borderId="78" xfId="0" applyNumberFormat="1" applyFont="1" applyFill="1" applyBorder="1" applyAlignment="1">
      <alignment horizontal="left" vertical="center"/>
    </xf>
    <xf numFmtId="20" fontId="57" fillId="0" borderId="78" xfId="0" applyNumberFormat="1" applyFont="1" applyFill="1" applyBorder="1" applyAlignment="1">
      <alignment vertical="center"/>
    </xf>
    <xf numFmtId="20" fontId="58" fillId="0" borderId="92" xfId="0" applyNumberFormat="1" applyFont="1" applyFill="1" applyBorder="1" applyAlignment="1">
      <alignment vertical="center"/>
    </xf>
    <xf numFmtId="20" fontId="10" fillId="0" borderId="78" xfId="0" applyNumberFormat="1" applyFont="1" applyFill="1" applyBorder="1" applyAlignment="1">
      <alignment vertical="center"/>
    </xf>
    <xf numFmtId="20" fontId="53" fillId="0" borderId="78" xfId="0" applyNumberFormat="1" applyFont="1" applyFill="1" applyBorder="1" applyAlignment="1">
      <alignment vertical="center"/>
    </xf>
    <xf numFmtId="20" fontId="54" fillId="0" borderId="92" xfId="0" applyNumberFormat="1" applyFont="1" applyFill="1" applyBorder="1" applyAlignment="1">
      <alignment vertical="center"/>
    </xf>
    <xf numFmtId="0" fontId="7" fillId="0" borderId="111" xfId="0" applyFont="1" applyBorder="1" applyAlignment="1">
      <alignment vertical="center"/>
    </xf>
    <xf numFmtId="20" fontId="7" fillId="0" borderId="55" xfId="10" applyNumberFormat="1" applyFont="1" applyBorder="1"/>
    <xf numFmtId="20" fontId="7" fillId="0" borderId="35" xfId="0" applyNumberFormat="1" applyFont="1" applyBorder="1" applyAlignment="1">
      <alignment vertical="center"/>
    </xf>
    <xf numFmtId="20" fontId="7" fillId="0" borderId="55" xfId="10" applyNumberFormat="1" applyFont="1" applyBorder="1" applyAlignment="1">
      <alignment vertical="center"/>
    </xf>
    <xf numFmtId="0" fontId="9" fillId="28" borderId="16" xfId="0" applyFont="1" applyFill="1" applyBorder="1" applyAlignment="1">
      <alignment horizontal="center" vertical="center"/>
    </xf>
    <xf numFmtId="0" fontId="7" fillId="0" borderId="35" xfId="0" applyFont="1" applyBorder="1" applyAlignment="1">
      <alignment vertical="center"/>
    </xf>
    <xf numFmtId="0" fontId="7" fillId="0" borderId="16" xfId="0" applyNumberFormat="1" applyFont="1" applyBorder="1"/>
    <xf numFmtId="0" fontId="7" fillId="0" borderId="56" xfId="0" applyNumberFormat="1" applyFont="1" applyBorder="1"/>
    <xf numFmtId="20" fontId="7" fillId="0" borderId="36" xfId="0" applyNumberFormat="1" applyFont="1" applyBorder="1" applyAlignment="1">
      <alignment vertical="center"/>
    </xf>
    <xf numFmtId="0" fontId="9" fillId="28" borderId="31" xfId="0" applyFont="1" applyFill="1" applyBorder="1" applyAlignment="1">
      <alignment horizontal="center" vertical="center"/>
    </xf>
    <xf numFmtId="0" fontId="9" fillId="28" borderId="33" xfId="0" applyFont="1" applyFill="1" applyBorder="1" applyAlignment="1">
      <alignment horizontal="center" vertical="center"/>
    </xf>
    <xf numFmtId="46" fontId="25" fillId="0" borderId="16" xfId="10" applyNumberFormat="1" applyFont="1" applyAlignment="1">
      <alignment horizontal="center" vertical="top" wrapText="1"/>
    </xf>
    <xf numFmtId="0" fontId="14" fillId="20" borderId="13" xfId="0" applyFont="1" applyFill="1" applyBorder="1" applyAlignment="1">
      <alignment horizontal="right" vertical="center"/>
    </xf>
    <xf numFmtId="20" fontId="55" fillId="0" borderId="78" xfId="0" applyNumberFormat="1" applyFont="1" applyFill="1" applyBorder="1" applyAlignment="1">
      <alignment vertical="center"/>
    </xf>
    <xf numFmtId="20" fontId="56" fillId="0" borderId="92" xfId="0" applyNumberFormat="1" applyFont="1" applyFill="1" applyBorder="1" applyAlignment="1">
      <alignment vertical="center"/>
    </xf>
    <xf numFmtId="0" fontId="14" fillId="36" borderId="16" xfId="0" applyFont="1" applyFill="1" applyBorder="1" applyAlignment="1">
      <alignment horizontal="right" vertical="center"/>
    </xf>
    <xf numFmtId="46" fontId="25" fillId="0" borderId="16" xfId="10" applyNumberFormat="1" applyFont="1" applyAlignment="1">
      <alignment horizontal="center" vertical="top" wrapText="1"/>
    </xf>
    <xf numFmtId="0" fontId="9" fillId="28" borderId="31" xfId="0" applyFont="1" applyFill="1" applyBorder="1" applyAlignment="1">
      <alignment horizontal="center" vertical="center"/>
    </xf>
    <xf numFmtId="0" fontId="9" fillId="28" borderId="33" xfId="0" applyFont="1" applyFill="1" applyBorder="1" applyAlignment="1">
      <alignment horizontal="center" vertical="center"/>
    </xf>
    <xf numFmtId="14" fontId="8" fillId="46" borderId="78" xfId="0" applyNumberFormat="1" applyFont="1" applyFill="1" applyBorder="1" applyAlignment="1">
      <alignment horizontal="left" vertical="center"/>
    </xf>
    <xf numFmtId="20" fontId="10" fillId="46" borderId="78" xfId="0" applyNumberFormat="1" applyFont="1" applyFill="1" applyBorder="1" applyAlignment="1">
      <alignment vertical="center"/>
    </xf>
    <xf numFmtId="20" fontId="53" fillId="46" borderId="78" xfId="0" applyNumberFormat="1" applyFont="1" applyFill="1" applyBorder="1" applyAlignment="1">
      <alignment vertical="center"/>
    </xf>
    <xf numFmtId="20" fontId="54" fillId="46" borderId="92" xfId="0" applyNumberFormat="1" applyFont="1" applyFill="1" applyBorder="1" applyAlignment="1">
      <alignment vertical="center"/>
    </xf>
    <xf numFmtId="14" fontId="8" fillId="57" borderId="78" xfId="0" applyNumberFormat="1" applyFont="1" applyFill="1" applyBorder="1" applyAlignment="1">
      <alignment horizontal="left" vertical="center"/>
    </xf>
    <xf numFmtId="20" fontId="57" fillId="46" borderId="78" xfId="0" applyNumberFormat="1" applyFont="1" applyFill="1" applyBorder="1" applyAlignment="1">
      <alignment vertical="center"/>
    </xf>
    <xf numFmtId="20" fontId="55" fillId="46" borderId="78" xfId="0" applyNumberFormat="1" applyFont="1" applyFill="1" applyBorder="1" applyAlignment="1">
      <alignment vertical="center"/>
    </xf>
    <xf numFmtId="20" fontId="58" fillId="46" borderId="92" xfId="0" applyNumberFormat="1" applyFont="1" applyFill="1" applyBorder="1" applyAlignment="1">
      <alignment vertical="center"/>
    </xf>
    <xf numFmtId="21" fontId="0" fillId="0" borderId="0" xfId="0" applyNumberFormat="1"/>
    <xf numFmtId="20" fontId="0" fillId="0" borderId="0" xfId="0" applyNumberFormat="1"/>
    <xf numFmtId="17" fontId="71" fillId="58" borderId="112" xfId="0" quotePrefix="1" applyNumberFormat="1" applyFont="1" applyFill="1" applyBorder="1" applyAlignment="1">
      <alignment horizontal="center"/>
    </xf>
    <xf numFmtId="0" fontId="71" fillId="58" borderId="1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2" fillId="58" borderId="112" xfId="0" applyFont="1" applyFill="1" applyBorder="1"/>
    <xf numFmtId="0" fontId="74" fillId="0" borderId="0" xfId="0" applyFont="1"/>
    <xf numFmtId="46" fontId="0" fillId="0" borderId="0" xfId="0" applyNumberFormat="1"/>
    <xf numFmtId="0" fontId="73" fillId="0" borderId="51" xfId="0" applyFont="1" applyBorder="1"/>
    <xf numFmtId="46" fontId="75" fillId="0" borderId="51" xfId="0" applyNumberFormat="1" applyFont="1" applyBorder="1"/>
    <xf numFmtId="46" fontId="74" fillId="0" borderId="0" xfId="0" applyNumberFormat="1" applyFont="1"/>
    <xf numFmtId="46" fontId="75" fillId="59" borderId="78" xfId="0" applyNumberFormat="1" applyFont="1" applyFill="1" applyBorder="1" applyAlignment="1">
      <alignment vertical="center"/>
    </xf>
    <xf numFmtId="46" fontId="75" fillId="59" borderId="82" xfId="0" applyNumberFormat="1" applyFont="1" applyFill="1" applyBorder="1" applyAlignment="1">
      <alignment vertical="center"/>
    </xf>
    <xf numFmtId="46" fontId="76" fillId="60" borderId="113" xfId="0" applyNumberFormat="1" applyFont="1" applyFill="1" applyBorder="1" applyAlignment="1">
      <alignment vertical="center"/>
    </xf>
    <xf numFmtId="0" fontId="0" fillId="0" borderId="0" xfId="0" applyNumberFormat="1"/>
    <xf numFmtId="0" fontId="73" fillId="0" borderId="114" xfId="0" applyFont="1" applyBorder="1"/>
    <xf numFmtId="0" fontId="73" fillId="0" borderId="78" xfId="0" applyFont="1" applyBorder="1"/>
    <xf numFmtId="0" fontId="73" fillId="0" borderId="114" xfId="0" applyNumberFormat="1" applyFont="1" applyBorder="1"/>
    <xf numFmtId="1" fontId="73" fillId="0" borderId="115" xfId="0" applyNumberFormat="1" applyFont="1" applyBorder="1"/>
    <xf numFmtId="1" fontId="73" fillId="0" borderId="78" xfId="0" applyNumberFormat="1" applyFont="1" applyBorder="1"/>
    <xf numFmtId="1" fontId="73" fillId="0" borderId="51" xfId="0" applyNumberFormat="1" applyFont="1" applyBorder="1"/>
    <xf numFmtId="0" fontId="77" fillId="37" borderId="78" xfId="5" applyFont="1" applyBorder="1" applyAlignment="1">
      <alignment vertical="center"/>
    </xf>
    <xf numFmtId="20" fontId="50" fillId="0" borderId="78" xfId="0" applyNumberFormat="1" applyFont="1" applyFill="1" applyBorder="1" applyAlignment="1">
      <alignment vertical="center"/>
    </xf>
    <xf numFmtId="14" fontId="8" fillId="61" borderId="78" xfId="0" applyNumberFormat="1" applyFont="1" applyFill="1" applyBorder="1" applyAlignment="1">
      <alignment horizontal="left" vertical="center"/>
    </xf>
    <xf numFmtId="20" fontId="10" fillId="61" borderId="78" xfId="0" applyNumberFormat="1" applyFont="1" applyFill="1" applyBorder="1" applyAlignment="1">
      <alignment vertical="center"/>
    </xf>
    <xf numFmtId="20" fontId="54" fillId="61" borderId="92" xfId="0" applyNumberFormat="1" applyFont="1" applyFill="1" applyBorder="1" applyAlignment="1">
      <alignment vertical="center"/>
    </xf>
    <xf numFmtId="20" fontId="69" fillId="0" borderId="78" xfId="0" applyNumberFormat="1" applyFont="1" applyFill="1" applyBorder="1" applyAlignment="1">
      <alignment vertical="center"/>
    </xf>
    <xf numFmtId="20" fontId="70" fillId="0" borderId="92" xfId="0" applyNumberFormat="1" applyFont="1" applyFill="1" applyBorder="1" applyAlignment="1">
      <alignment vertical="center"/>
    </xf>
    <xf numFmtId="20" fontId="69" fillId="48" borderId="78" xfId="0" applyNumberFormat="1" applyFont="1" applyFill="1" applyBorder="1" applyAlignment="1">
      <alignment vertical="center"/>
    </xf>
    <xf numFmtId="20" fontId="70" fillId="48" borderId="92" xfId="0" applyNumberFormat="1" applyFont="1" applyFill="1" applyBorder="1" applyAlignment="1">
      <alignment vertical="center"/>
    </xf>
    <xf numFmtId="20" fontId="57" fillId="61" borderId="78" xfId="0" applyNumberFormat="1" applyFont="1" applyFill="1" applyBorder="1" applyAlignment="1">
      <alignment vertical="center"/>
    </xf>
    <xf numFmtId="20" fontId="53" fillId="61" borderId="78" xfId="0" applyNumberFormat="1" applyFont="1" applyFill="1" applyBorder="1" applyAlignment="1">
      <alignment vertical="center"/>
    </xf>
    <xf numFmtId="14" fontId="32" fillId="53" borderId="78" xfId="0" applyNumberFormat="1" applyFont="1" applyFill="1" applyBorder="1" applyAlignment="1">
      <alignment horizontal="left" vertical="center"/>
    </xf>
    <xf numFmtId="20" fontId="29" fillId="54" borderId="78" xfId="0" applyNumberFormat="1" applyFont="1" applyFill="1" applyBorder="1" applyAlignment="1">
      <alignment vertical="center"/>
    </xf>
    <xf numFmtId="20" fontId="32" fillId="54" borderId="92" xfId="0" applyNumberFormat="1" applyFont="1" applyFill="1" applyBorder="1" applyAlignment="1">
      <alignment vertical="center"/>
    </xf>
    <xf numFmtId="20" fontId="45" fillId="61" borderId="92" xfId="0" applyNumberFormat="1" applyFont="1" applyFill="1" applyBorder="1" applyAlignment="1">
      <alignment vertical="center"/>
    </xf>
    <xf numFmtId="20" fontId="10" fillId="49" borderId="92" xfId="0" applyNumberFormat="1" applyFont="1" applyFill="1" applyBorder="1" applyAlignment="1">
      <alignment vertical="center"/>
    </xf>
    <xf numFmtId="20" fontId="58" fillId="48" borderId="92" xfId="0" applyNumberFormat="1" applyFont="1" applyFill="1" applyBorder="1" applyAlignment="1">
      <alignment vertical="center"/>
    </xf>
    <xf numFmtId="20" fontId="55" fillId="49" borderId="78" xfId="0" applyNumberFormat="1" applyFont="1" applyFill="1" applyBorder="1" applyAlignment="1">
      <alignment vertical="center"/>
    </xf>
    <xf numFmtId="20" fontId="56" fillId="49" borderId="92" xfId="0" applyNumberFormat="1" applyFont="1" applyFill="1" applyBorder="1" applyAlignment="1">
      <alignment vertical="center"/>
    </xf>
    <xf numFmtId="20" fontId="69" fillId="49" borderId="78" xfId="0" applyNumberFormat="1" applyFont="1" applyFill="1" applyBorder="1" applyAlignment="1">
      <alignment vertical="center"/>
    </xf>
    <xf numFmtId="20" fontId="70" fillId="49" borderId="92" xfId="0" applyNumberFormat="1" applyFont="1" applyFill="1" applyBorder="1" applyAlignment="1">
      <alignment vertical="center"/>
    </xf>
    <xf numFmtId="0" fontId="78" fillId="37" borderId="78" xfId="8" applyFont="1" applyBorder="1" applyAlignment="1">
      <alignment vertical="center"/>
    </xf>
    <xf numFmtId="20" fontId="79" fillId="0" borderId="78" xfId="0" applyNumberFormat="1" applyFont="1" applyFill="1" applyBorder="1" applyAlignment="1">
      <alignment vertical="center"/>
    </xf>
    <xf numFmtId="0" fontId="26" fillId="43" borderId="55" xfId="20" applyFont="1" applyBorder="1" applyAlignment="1">
      <alignment horizontal="center" vertical="center" wrapText="1"/>
    </xf>
    <xf numFmtId="0" fontId="8" fillId="36" borderId="25" xfId="0" applyFont="1" applyFill="1" applyBorder="1" applyAlignment="1">
      <alignment horizontal="left" vertical="center"/>
    </xf>
    <xf numFmtId="0" fontId="8" fillId="36" borderId="26" xfId="0" applyFont="1" applyFill="1" applyBorder="1" applyAlignment="1">
      <alignment horizontal="left" vertical="center"/>
    </xf>
    <xf numFmtId="0" fontId="8" fillId="36" borderId="27" xfId="0" applyFont="1" applyFill="1" applyBorder="1" applyAlignment="1">
      <alignment horizontal="left" vertical="center"/>
    </xf>
    <xf numFmtId="20" fontId="37" fillId="0" borderId="37" xfId="18" applyNumberFormat="1" applyFill="1" applyBorder="1" applyAlignment="1">
      <alignment horizontal="center" vertical="center"/>
    </xf>
    <xf numFmtId="20" fontId="37" fillId="0" borderId="38" xfId="18" applyNumberFormat="1" applyFill="1" applyBorder="1" applyAlignment="1">
      <alignment horizontal="center" vertical="center"/>
    </xf>
    <xf numFmtId="20" fontId="37" fillId="0" borderId="39" xfId="18" applyNumberFormat="1" applyFill="1" applyBorder="1" applyAlignment="1">
      <alignment horizontal="center" vertical="center"/>
    </xf>
    <xf numFmtId="0" fontId="26" fillId="43" borderId="16" xfId="20" applyFont="1" applyBorder="1" applyAlignment="1">
      <alignment horizontal="center" vertical="center" wrapText="1"/>
    </xf>
    <xf numFmtId="0" fontId="8" fillId="36" borderId="24" xfId="0" applyFont="1" applyFill="1" applyBorder="1" applyAlignment="1">
      <alignment horizontal="left" vertical="center"/>
    </xf>
    <xf numFmtId="0" fontId="8" fillId="36" borderId="16" xfId="0" applyFont="1" applyFill="1" applyBorder="1" applyAlignment="1">
      <alignment horizontal="left" vertical="center"/>
    </xf>
    <xf numFmtId="0" fontId="8" fillId="36" borderId="17" xfId="0" applyFont="1" applyFill="1" applyBorder="1" applyAlignment="1">
      <alignment horizontal="left" vertical="center"/>
    </xf>
    <xf numFmtId="17" fontId="8" fillId="36" borderId="28" xfId="0" applyNumberFormat="1" applyFont="1" applyFill="1" applyBorder="1" applyAlignment="1">
      <alignment horizontal="left" vertical="center"/>
    </xf>
    <xf numFmtId="17" fontId="8" fillId="36" borderId="29" xfId="0" applyNumberFormat="1" applyFont="1" applyFill="1" applyBorder="1" applyAlignment="1">
      <alignment horizontal="left" vertical="center"/>
    </xf>
    <xf numFmtId="17" fontId="8" fillId="36" borderId="30" xfId="0" applyNumberFormat="1" applyFont="1" applyFill="1" applyBorder="1" applyAlignment="1">
      <alignment horizontal="left" vertical="center"/>
    </xf>
    <xf numFmtId="0" fontId="9" fillId="28" borderId="37" xfId="10" applyFont="1" applyFill="1" applyBorder="1" applyAlignment="1">
      <alignment horizontal="center" vertical="center"/>
    </xf>
    <xf numFmtId="0" fontId="9" fillId="28" borderId="39" xfId="10" applyFont="1" applyFill="1" applyBorder="1" applyAlignment="1">
      <alignment horizontal="center" vertical="center"/>
    </xf>
    <xf numFmtId="0" fontId="9" fillId="28" borderId="32" xfId="0" applyFont="1" applyFill="1" applyBorder="1" applyAlignment="1">
      <alignment horizontal="center" vertical="center"/>
    </xf>
    <xf numFmtId="0" fontId="9" fillId="28" borderId="31" xfId="0" applyFont="1" applyFill="1" applyBorder="1" applyAlignment="1">
      <alignment horizontal="center" vertical="center"/>
    </xf>
    <xf numFmtId="0" fontId="9" fillId="28" borderId="33" xfId="0" applyFont="1" applyFill="1" applyBorder="1" applyAlignment="1">
      <alignment horizontal="center" vertical="center"/>
    </xf>
    <xf numFmtId="0" fontId="26" fillId="43" borderId="31" xfId="20" applyFont="1" applyBorder="1" applyAlignment="1">
      <alignment horizontal="center" vertical="center" wrapText="1"/>
    </xf>
    <xf numFmtId="0" fontId="26" fillId="43" borderId="35" xfId="20" applyFont="1" applyBorder="1" applyAlignment="1">
      <alignment horizontal="center" vertical="center" wrapText="1"/>
    </xf>
    <xf numFmtId="46" fontId="33" fillId="37" borderId="34" xfId="5" applyNumberFormat="1" applyFont="1" applyBorder="1" applyAlignment="1">
      <alignment vertical="center" wrapText="1"/>
    </xf>
    <xf numFmtId="46" fontId="33" fillId="37" borderId="35" xfId="5" applyNumberFormat="1" applyFont="1" applyBorder="1" applyAlignment="1">
      <alignment vertical="center" wrapText="1"/>
    </xf>
    <xf numFmtId="46" fontId="33" fillId="37" borderId="36" xfId="5" applyNumberFormat="1" applyFont="1" applyBorder="1" applyAlignment="1">
      <alignment vertical="center" wrapText="1"/>
    </xf>
    <xf numFmtId="46" fontId="33" fillId="37" borderId="37" xfId="5" applyNumberFormat="1" applyFont="1" applyBorder="1" applyAlignment="1">
      <alignment vertical="center" wrapText="1"/>
    </xf>
    <xf numFmtId="46" fontId="33" fillId="37" borderId="38" xfId="5" applyNumberFormat="1" applyFont="1" applyBorder="1" applyAlignment="1">
      <alignment vertical="center" wrapText="1"/>
    </xf>
    <xf numFmtId="46" fontId="33" fillId="37" borderId="39" xfId="5" applyNumberFormat="1" applyFont="1" applyBorder="1" applyAlignment="1">
      <alignment vertical="center" wrapText="1"/>
    </xf>
    <xf numFmtId="0" fontId="26" fillId="43" borderId="61" xfId="20" applyFont="1" applyBorder="1" applyAlignment="1">
      <alignment horizontal="center" vertical="center" wrapText="1"/>
    </xf>
    <xf numFmtId="46" fontId="25" fillId="0" borderId="16" xfId="10" applyNumberFormat="1" applyFont="1" applyAlignment="1">
      <alignment horizontal="left" vertical="top" wrapText="1"/>
    </xf>
    <xf numFmtId="46" fontId="25" fillId="0" borderId="16" xfId="10" applyNumberFormat="1" applyFont="1" applyAlignment="1">
      <alignment horizontal="center" vertical="top" wrapText="1"/>
    </xf>
    <xf numFmtId="0" fontId="14" fillId="36" borderId="37" xfId="0" applyFont="1" applyFill="1" applyBorder="1" applyAlignment="1">
      <alignment horizontal="right" vertical="center"/>
    </xf>
    <xf numFmtId="0" fontId="14" fillId="36" borderId="38" xfId="0" applyFont="1" applyFill="1" applyBorder="1" applyAlignment="1">
      <alignment horizontal="right" vertical="center"/>
    </xf>
    <xf numFmtId="0" fontId="14" fillId="36" borderId="38" xfId="0" applyFont="1" applyFill="1" applyBorder="1" applyAlignment="1">
      <alignment horizontal="right" vertical="top"/>
    </xf>
    <xf numFmtId="0" fontId="14" fillId="36" borderId="8" xfId="0" applyFont="1" applyFill="1" applyBorder="1" applyAlignment="1">
      <alignment horizontal="right" vertical="center"/>
    </xf>
    <xf numFmtId="0" fontId="14" fillId="36" borderId="29" xfId="0" applyFont="1" applyFill="1" applyBorder="1" applyAlignment="1">
      <alignment horizontal="right" vertical="center"/>
    </xf>
    <xf numFmtId="0" fontId="14" fillId="36" borderId="29" xfId="0" applyFont="1" applyFill="1" applyBorder="1" applyAlignment="1">
      <alignment horizontal="right" vertical="top"/>
    </xf>
    <xf numFmtId="0" fontId="14" fillId="36" borderId="23" xfId="0" applyFont="1" applyFill="1" applyBorder="1" applyAlignment="1">
      <alignment horizontal="right" vertical="center"/>
    </xf>
    <xf numFmtId="0" fontId="14" fillId="36" borderId="16" xfId="0" applyFont="1" applyFill="1" applyBorder="1" applyAlignment="1">
      <alignment horizontal="right" vertical="center"/>
    </xf>
    <xf numFmtId="46" fontId="33" fillId="37" borderId="34" xfId="5" applyNumberFormat="1" applyFont="1" applyBorder="1" applyAlignment="1">
      <alignment horizontal="right" vertical="center" wrapText="1"/>
    </xf>
    <xf numFmtId="46" fontId="33" fillId="37" borderId="35" xfId="5" applyNumberFormat="1" applyFont="1" applyBorder="1" applyAlignment="1">
      <alignment horizontal="right" vertical="center" wrapText="1"/>
    </xf>
    <xf numFmtId="46" fontId="33" fillId="37" borderId="36" xfId="5" applyNumberFormat="1" applyFont="1" applyBorder="1" applyAlignment="1">
      <alignment horizontal="right" vertical="center" wrapText="1"/>
    </xf>
    <xf numFmtId="46" fontId="33" fillId="37" borderId="37" xfId="5" applyNumberFormat="1" applyFont="1" applyBorder="1" applyAlignment="1">
      <alignment horizontal="right" vertical="center" wrapText="1"/>
    </xf>
    <xf numFmtId="46" fontId="33" fillId="37" borderId="38" xfId="5" applyNumberFormat="1" applyFont="1" applyBorder="1" applyAlignment="1">
      <alignment horizontal="right" vertical="center" wrapText="1"/>
    </xf>
    <xf numFmtId="46" fontId="33" fillId="37" borderId="39" xfId="5" applyNumberFormat="1" applyFont="1" applyBorder="1" applyAlignment="1">
      <alignment horizontal="right" vertical="center" wrapText="1"/>
    </xf>
    <xf numFmtId="0" fontId="8" fillId="30" borderId="25" xfId="0" applyFont="1" applyFill="1" applyBorder="1" applyAlignment="1">
      <alignment horizontal="left" vertical="center"/>
    </xf>
    <xf numFmtId="0" fontId="8" fillId="31" borderId="26" xfId="0" applyFont="1" applyFill="1" applyBorder="1" applyAlignment="1">
      <alignment horizontal="left" vertical="center"/>
    </xf>
    <xf numFmtId="0" fontId="8" fillId="32" borderId="27" xfId="0" applyFont="1" applyFill="1" applyBorder="1" applyAlignment="1">
      <alignment horizontal="left" vertical="center"/>
    </xf>
    <xf numFmtId="0" fontId="8" fillId="29" borderId="24" xfId="0" applyFont="1" applyFill="1" applyBorder="1" applyAlignment="1">
      <alignment horizontal="left" vertical="center"/>
    </xf>
    <xf numFmtId="0" fontId="8" fillId="20" borderId="13" xfId="0" applyFont="1" applyFill="1" applyBorder="1" applyAlignment="1">
      <alignment horizontal="left" vertical="center"/>
    </xf>
    <xf numFmtId="0" fontId="8" fillId="21" borderId="14" xfId="0" applyFont="1" applyFill="1" applyBorder="1" applyAlignment="1">
      <alignment horizontal="left" vertical="center"/>
    </xf>
    <xf numFmtId="17" fontId="8" fillId="33" borderId="28" xfId="0" applyNumberFormat="1" applyFont="1" applyFill="1" applyBorder="1" applyAlignment="1">
      <alignment horizontal="left" vertical="center"/>
    </xf>
    <xf numFmtId="17" fontId="8" fillId="34" borderId="29" xfId="0" applyNumberFormat="1" applyFont="1" applyFill="1" applyBorder="1" applyAlignment="1">
      <alignment horizontal="left" vertical="center"/>
    </xf>
    <xf numFmtId="17" fontId="8" fillId="35" borderId="30" xfId="0" applyNumberFormat="1" applyFont="1" applyFill="1" applyBorder="1" applyAlignment="1">
      <alignment horizontal="left" vertical="center"/>
    </xf>
    <xf numFmtId="0" fontId="9" fillId="28" borderId="38" xfId="10" applyFont="1" applyFill="1" applyBorder="1" applyAlignment="1">
      <alignment horizontal="center" vertical="center"/>
    </xf>
    <xf numFmtId="0" fontId="14" fillId="23" borderId="38" xfId="0" applyFont="1" applyFill="1" applyBorder="1" applyAlignment="1">
      <alignment horizontal="right" vertical="center"/>
    </xf>
    <xf numFmtId="0" fontId="14" fillId="23" borderId="38" xfId="0" applyFont="1" applyFill="1" applyBorder="1" applyAlignment="1">
      <alignment horizontal="right" vertical="top"/>
    </xf>
    <xf numFmtId="0" fontId="14" fillId="23" borderId="29" xfId="0" applyFont="1" applyFill="1" applyBorder="1" applyAlignment="1">
      <alignment horizontal="right" vertical="center"/>
    </xf>
    <xf numFmtId="0" fontId="14" fillId="23" borderId="29" xfId="0" applyFont="1" applyFill="1" applyBorder="1" applyAlignment="1">
      <alignment horizontal="right" vertical="top"/>
    </xf>
    <xf numFmtId="0" fontId="14" fillId="22" borderId="15" xfId="0" applyFont="1" applyFill="1" applyBorder="1" applyAlignment="1">
      <alignment horizontal="right" vertical="center"/>
    </xf>
    <xf numFmtId="0" fontId="14" fillId="20" borderId="13" xfId="0" applyFont="1" applyFill="1" applyBorder="1" applyAlignment="1">
      <alignment horizontal="right" vertical="center"/>
    </xf>
    <xf numFmtId="0" fontId="21" fillId="55" borderId="31" xfId="20" applyFont="1" applyFill="1" applyBorder="1" applyAlignment="1">
      <alignment horizontal="center" vertical="center" wrapText="1"/>
    </xf>
    <xf numFmtId="0" fontId="21" fillId="55" borderId="16" xfId="20" applyFont="1" applyFill="1" applyBorder="1" applyAlignment="1">
      <alignment horizontal="center" vertical="center" wrapText="1"/>
    </xf>
    <xf numFmtId="0" fontId="21" fillId="55" borderId="35" xfId="20" applyFont="1" applyFill="1" applyBorder="1" applyAlignment="1">
      <alignment horizontal="center" vertical="center" wrapText="1"/>
    </xf>
    <xf numFmtId="0" fontId="59" fillId="55" borderId="31" xfId="20" applyFont="1" applyFill="1" applyBorder="1" applyAlignment="1">
      <alignment horizontal="center" vertical="center" wrapText="1"/>
    </xf>
    <xf numFmtId="0" fontId="59" fillId="55" borderId="16" xfId="20" applyFont="1" applyFill="1" applyBorder="1" applyAlignment="1">
      <alignment horizontal="center" vertical="center" wrapText="1"/>
    </xf>
    <xf numFmtId="0" fontId="59" fillId="55" borderId="35" xfId="20" applyFont="1" applyFill="1" applyBorder="1" applyAlignment="1">
      <alignment horizontal="center" vertical="center" wrapText="1"/>
    </xf>
  </cellXfs>
  <cellStyles count="23">
    <cellStyle name="20% - Énfasis6" xfId="22" builtinId="50"/>
    <cellStyle name="40% - Énfasis1" xfId="5" builtinId="31"/>
    <cellStyle name="40% - Énfasis1 2" xfId="8" xr:uid="{00000000-0005-0000-0000-000002000000}"/>
    <cellStyle name="40% - Énfasis1 2 2" xfId="15" xr:uid="{00000000-0005-0000-0000-000003000000}"/>
    <cellStyle name="40% - Énfasis1 2 3" xfId="21" xr:uid="{00000000-0005-0000-0000-000004000000}"/>
    <cellStyle name="40% - Énfasis1 3" xfId="13" xr:uid="{00000000-0005-0000-0000-000005000000}"/>
    <cellStyle name="40% - Énfasis4 2" xfId="17" xr:uid="{00000000-0005-0000-0000-000006000000}"/>
    <cellStyle name="Buena 2" xfId="7" xr:uid="{00000000-0005-0000-0000-000007000000}"/>
    <cellStyle name="Buena 3" xfId="11" xr:uid="{00000000-0005-0000-0000-000008000000}"/>
    <cellStyle name="Bueno" xfId="2" builtinId="26" customBuiltin="1"/>
    <cellStyle name="Bueno 2" xfId="19" xr:uid="{00000000-0005-0000-0000-00000A000000}"/>
    <cellStyle name="Énfasis3" xfId="20" builtinId="37"/>
    <cellStyle name="Entrada" xfId="4" builtinId="20" customBuiltin="1"/>
    <cellStyle name="Hipervínculo" xfId="18" builtinId="8"/>
    <cellStyle name="Incorrecto 2" xfId="16" xr:uid="{00000000-0005-0000-0000-00000E000000}"/>
    <cellStyle name="Neutral" xfId="3" builtinId="28" customBuiltin="1"/>
    <cellStyle name="Neutral 2" xfId="12" xr:uid="{00000000-0005-0000-0000-000010000000}"/>
    <cellStyle name="Normal" xfId="0" builtinId="0" customBuiltin="1"/>
    <cellStyle name="Normal 2" xfId="6" xr:uid="{00000000-0005-0000-0000-000012000000}"/>
    <cellStyle name="Normal 2 2" xfId="14" xr:uid="{00000000-0005-0000-0000-000013000000}"/>
    <cellStyle name="Normal 2_Tareas Marzo 2020" xfId="9" xr:uid="{00000000-0005-0000-0000-000014000000}"/>
    <cellStyle name="Normal 3" xfId="10" xr:uid="{00000000-0005-0000-0000-000015000000}"/>
    <cellStyle name="Notas" xfId="1" builtinId="10" customBuiltin="1"/>
  </cellStyles>
  <dxfs count="0"/>
  <tableStyles count="0"/>
  <colors>
    <mruColors>
      <color rgb="FFFF5050"/>
      <color rgb="FF009900"/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theme/theme1.xml" Type="http://schemas.openxmlformats.org/officeDocument/2006/relationships/theme"/><Relationship Id="rId16" Target="styles.xml" Type="http://schemas.openxmlformats.org/officeDocument/2006/relationships/styles"/><Relationship Id="rId17" Target="sharedStrings.xml" Type="http://schemas.openxmlformats.org/officeDocument/2006/relationships/sharedStrings"/><Relationship Id="rId18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workbookViewId="0">
      <selection activeCell="D29" sqref="D29"/>
    </sheetView>
  </sheetViews>
  <sheetFormatPr baseColWidth="10" defaultRowHeight="12.75" x14ac:dyDescent="0.2"/>
  <cols>
    <col min="1" max="1" width="20.42578125" customWidth="1"/>
    <col min="2" max="2" width="14.85546875" customWidth="1"/>
    <col min="3" max="3" width="14.7109375" customWidth="1"/>
    <col min="4" max="4" width="13.5703125" customWidth="1"/>
    <col min="5" max="6" width="13.7109375" bestFit="1" customWidth="1"/>
    <col min="7" max="7" width="13.42578125" bestFit="1" customWidth="1"/>
    <col min="8" max="8" width="13.28515625" bestFit="1" customWidth="1"/>
    <col min="9" max="9" width="12" customWidth="1"/>
    <col min="10" max="10" width="14.140625" customWidth="1"/>
    <col min="11" max="11" width="13.85546875" customWidth="1"/>
    <col min="12" max="13" width="11.7109375" customWidth="1"/>
    <col min="14" max="14" width="11" bestFit="1" customWidth="1"/>
    <col min="15" max="15" width="14" customWidth="1"/>
    <col min="16" max="16" width="9.85546875" customWidth="1"/>
    <col min="17" max="17" width="10" customWidth="1"/>
    <col min="18" max="18" width="9.85546875" customWidth="1"/>
    <col min="19" max="19" width="9.7109375" customWidth="1"/>
    <col min="20" max="20" width="9.42578125" customWidth="1"/>
    <col min="21" max="21" width="12.140625" bestFit="1" customWidth="1"/>
  </cols>
  <sheetData>
    <row r="1" spans="1:18" ht="13.5" thickBot="1" x14ac:dyDescent="0.25">
      <c r="A1" t="s">
        <v>95</v>
      </c>
      <c r="B1" s="638">
        <v>0.33333333333333331</v>
      </c>
      <c r="C1" s="638">
        <v>0.29166666666666669</v>
      </c>
      <c r="D1" s="639"/>
    </row>
    <row r="2" spans="1:18" ht="14.25" thickTop="1" thickBot="1" x14ac:dyDescent="0.25">
      <c r="B2" s="640" t="s">
        <v>54</v>
      </c>
      <c r="C2" s="641" t="s">
        <v>55</v>
      </c>
      <c r="D2" s="641" t="s">
        <v>56</v>
      </c>
      <c r="E2" s="641" t="s">
        <v>57</v>
      </c>
      <c r="F2" s="640" t="s">
        <v>58</v>
      </c>
      <c r="G2" s="641" t="s">
        <v>59</v>
      </c>
      <c r="H2" s="641" t="s">
        <v>60</v>
      </c>
      <c r="I2" s="641" t="s">
        <v>61</v>
      </c>
      <c r="J2" s="641" t="s">
        <v>62</v>
      </c>
      <c r="K2" s="641" t="s">
        <v>63</v>
      </c>
      <c r="L2" s="641" t="s">
        <v>64</v>
      </c>
      <c r="M2" s="641" t="s">
        <v>65</v>
      </c>
      <c r="N2" s="641" t="s">
        <v>66</v>
      </c>
      <c r="O2" s="642" t="s">
        <v>67</v>
      </c>
    </row>
    <row r="3" spans="1:18" ht="16.5" thickTop="1" thickBot="1" x14ac:dyDescent="0.3">
      <c r="A3" s="643" t="s">
        <v>93</v>
      </c>
      <c r="B3" s="655">
        <f>B13+C13</f>
        <v>4</v>
      </c>
      <c r="C3" s="653">
        <f>B14+C14</f>
        <v>22</v>
      </c>
      <c r="D3" s="653">
        <f>B15+C15</f>
        <v>23</v>
      </c>
      <c r="E3" s="653">
        <f>B16+C16</f>
        <v>21</v>
      </c>
      <c r="F3" s="653">
        <f>B17+C17</f>
        <v>22</v>
      </c>
      <c r="G3" s="653">
        <f>B18+C18</f>
        <v>21</v>
      </c>
      <c r="H3" s="653">
        <f>B19+C19</f>
        <v>19</v>
      </c>
      <c r="I3" s="653">
        <f>B20+C20</f>
        <v>18</v>
      </c>
      <c r="J3" s="653">
        <f>B21+C21</f>
        <v>19</v>
      </c>
      <c r="K3" s="653">
        <f>B22+C22</f>
        <v>20</v>
      </c>
      <c r="L3" s="653">
        <f>B23+C23</f>
        <v>20</v>
      </c>
      <c r="M3" s="653">
        <f>B24+C24</f>
        <v>22</v>
      </c>
      <c r="N3" s="653">
        <f>B25+C25</f>
        <v>17</v>
      </c>
      <c r="O3" s="644">
        <v>23</v>
      </c>
      <c r="P3" s="645">
        <f>O3*B1</f>
        <v>7.6666666666666661</v>
      </c>
    </row>
    <row r="4" spans="1:18" ht="16.5" thickTop="1" thickBot="1" x14ac:dyDescent="0.3">
      <c r="A4" s="643" t="s">
        <v>70</v>
      </c>
      <c r="B4" s="656">
        <f>'Mayo 26'!C53</f>
        <v>0</v>
      </c>
      <c r="C4" s="656">
        <f>Junio!C53</f>
        <v>0</v>
      </c>
      <c r="D4" s="654">
        <v>0</v>
      </c>
      <c r="E4" s="654">
        <v>0</v>
      </c>
      <c r="F4" s="657">
        <f>Septiembre!C53</f>
        <v>0</v>
      </c>
      <c r="G4" s="657">
        <f>Octubre!C53</f>
        <v>0</v>
      </c>
      <c r="H4" s="657">
        <f>Noviembre!C53</f>
        <v>0</v>
      </c>
      <c r="I4" s="657">
        <f>Diciembre!C53</f>
        <v>0</v>
      </c>
      <c r="J4" s="657">
        <f>Enero!C53</f>
        <v>0</v>
      </c>
      <c r="K4" s="657">
        <f>Febrero!C53</f>
        <v>0</v>
      </c>
      <c r="L4" s="657">
        <f>Marzo!C53</f>
        <v>0</v>
      </c>
      <c r="M4" s="657">
        <f>Abril!C53</f>
        <v>0</v>
      </c>
      <c r="N4" s="657">
        <f>Mayo!C53</f>
        <v>0</v>
      </c>
      <c r="O4" s="644">
        <f>SUM(B4:N4)</f>
        <v>0</v>
      </c>
      <c r="P4" s="644"/>
    </row>
    <row r="5" spans="1:18" ht="16.5" thickTop="1" thickBot="1" x14ac:dyDescent="0.3">
      <c r="A5" s="643" t="s">
        <v>71</v>
      </c>
      <c r="B5" s="646">
        <v>0</v>
      </c>
      <c r="C5" s="657">
        <f>Junio!C54</f>
        <v>0</v>
      </c>
      <c r="D5" s="658">
        <f>Julio!C53</f>
        <v>1</v>
      </c>
      <c r="E5" s="658">
        <f>Agosto!C53</f>
        <v>12</v>
      </c>
      <c r="F5" s="657">
        <f>Septiembre!C54</f>
        <v>0</v>
      </c>
      <c r="G5" s="646">
        <v>0</v>
      </c>
      <c r="H5" s="646">
        <v>0</v>
      </c>
      <c r="I5" s="646">
        <v>0</v>
      </c>
      <c r="J5" s="646">
        <v>0</v>
      </c>
      <c r="K5" s="646">
        <v>0</v>
      </c>
      <c r="L5" s="646">
        <v>0</v>
      </c>
      <c r="M5" s="646">
        <v>0</v>
      </c>
      <c r="N5" s="646">
        <v>0</v>
      </c>
      <c r="O5" s="644">
        <f>SUM(B5:N5)</f>
        <v>13</v>
      </c>
      <c r="P5" s="644">
        <f>SUM(O4:O5,P4)</f>
        <v>13</v>
      </c>
    </row>
    <row r="6" spans="1:18" ht="16.5" thickTop="1" thickBot="1" x14ac:dyDescent="0.3">
      <c r="A6" s="643" t="s">
        <v>72</v>
      </c>
      <c r="B6" s="647">
        <f t="shared" ref="B6:N6" si="0">B4*$B1+B5*$C1</f>
        <v>0</v>
      </c>
      <c r="C6" s="647">
        <f t="shared" si="0"/>
        <v>0</v>
      </c>
      <c r="D6" s="647">
        <f t="shared" si="0"/>
        <v>0.29166666666666669</v>
      </c>
      <c r="E6" s="647">
        <f t="shared" si="0"/>
        <v>3.5</v>
      </c>
      <c r="F6" s="647">
        <f t="shared" si="0"/>
        <v>0</v>
      </c>
      <c r="G6" s="647">
        <f t="shared" si="0"/>
        <v>0</v>
      </c>
      <c r="H6" s="647">
        <f t="shared" si="0"/>
        <v>0</v>
      </c>
      <c r="I6" s="647">
        <f t="shared" si="0"/>
        <v>0</v>
      </c>
      <c r="J6" s="647">
        <f t="shared" si="0"/>
        <v>0</v>
      </c>
      <c r="K6" s="647">
        <f t="shared" si="0"/>
        <v>0</v>
      </c>
      <c r="L6" s="647">
        <f t="shared" si="0"/>
        <v>0</v>
      </c>
      <c r="M6" s="647">
        <f t="shared" si="0"/>
        <v>0</v>
      </c>
      <c r="N6" s="647">
        <f t="shared" si="0"/>
        <v>0</v>
      </c>
      <c r="O6" s="648">
        <f>SUM(B6:N6)</f>
        <v>3.7916666666666665</v>
      </c>
    </row>
    <row r="7" spans="1:18" ht="16.5" thickTop="1" thickBot="1" x14ac:dyDescent="0.3">
      <c r="A7" s="643" t="s">
        <v>73</v>
      </c>
      <c r="B7" s="649">
        <f>B3*B1</f>
        <v>1.3333333333333333</v>
      </c>
      <c r="C7" s="649">
        <f>B14*$B1+C14*$C1</f>
        <v>6.833333333333333</v>
      </c>
      <c r="D7" s="649">
        <f>D3*$C1</f>
        <v>6.7083333333333339</v>
      </c>
      <c r="E7" s="649">
        <f>E3*$C1</f>
        <v>6.125</v>
      </c>
      <c r="F7" s="649">
        <f>B17*$B1+C17*$C1</f>
        <v>6.875</v>
      </c>
      <c r="G7" s="649">
        <f t="shared" ref="G7:N7" si="1">G3*$B1</f>
        <v>7</v>
      </c>
      <c r="H7" s="649">
        <f t="shared" si="1"/>
        <v>6.333333333333333</v>
      </c>
      <c r="I7" s="649">
        <f t="shared" si="1"/>
        <v>6</v>
      </c>
      <c r="J7" s="649">
        <f t="shared" si="1"/>
        <v>6.333333333333333</v>
      </c>
      <c r="K7" s="649">
        <f t="shared" si="1"/>
        <v>6.6666666666666661</v>
      </c>
      <c r="L7" s="649">
        <f t="shared" si="1"/>
        <v>6.6666666666666661</v>
      </c>
      <c r="M7" s="649">
        <f t="shared" si="1"/>
        <v>7.333333333333333</v>
      </c>
      <c r="N7" s="649">
        <f t="shared" si="1"/>
        <v>5.6666666666666661</v>
      </c>
      <c r="O7" s="648">
        <f>SUM(B7:N7)</f>
        <v>79.875</v>
      </c>
      <c r="P7" s="645">
        <f>O7-Q8</f>
        <v>6.5416666666666714</v>
      </c>
      <c r="Q7" s="645">
        <f>P7-O6</f>
        <v>2.7500000000000049</v>
      </c>
      <c r="R7" s="645"/>
    </row>
    <row r="8" spans="1:18" ht="16.5" thickTop="1" thickBot="1" x14ac:dyDescent="0.3">
      <c r="A8" s="643" t="s">
        <v>74</v>
      </c>
      <c r="B8" s="650">
        <f>'Mayo 26'!$C$47</f>
        <v>1.3958333333333335</v>
      </c>
      <c r="C8" s="650">
        <f>Junio!$C$47</f>
        <v>6.916666666666667</v>
      </c>
      <c r="D8" s="650">
        <f>Julio!$C$47</f>
        <v>6.625694444444445</v>
      </c>
      <c r="E8" s="650">
        <f>Agosto!$C$47</f>
        <v>2.6562500000000004</v>
      </c>
      <c r="F8" s="650">
        <f>Septiembre!$C$47</f>
        <v>6.8972222222222221</v>
      </c>
      <c r="G8" s="650">
        <f>Octubre!$C$47</f>
        <v>7.0208333333333339</v>
      </c>
      <c r="H8" s="650">
        <f>Noviembre!$C$47</f>
        <v>6.3541666666666661</v>
      </c>
      <c r="I8" s="650">
        <f>Diciembre!$C$47</f>
        <v>6.020833333333333</v>
      </c>
      <c r="J8" s="650">
        <f>Enero!$C$47</f>
        <v>6.3541666666666661</v>
      </c>
      <c r="K8" s="650">
        <f>Febrero!$C$47</f>
        <v>6.6874999999999982</v>
      </c>
      <c r="L8" s="650">
        <f>Marzo!$C$47</f>
        <v>6.697916666666667</v>
      </c>
      <c r="M8" s="650">
        <f>Abril!$C$47</f>
        <v>7.3541666666666661</v>
      </c>
      <c r="N8" s="650">
        <f>Mayo!$C$47</f>
        <v>5.7187499999999991</v>
      </c>
      <c r="O8" s="648">
        <f>SUM(B8:N8)</f>
        <v>76.7</v>
      </c>
      <c r="P8" s="645">
        <f>O8-Q8</f>
        <v>3.3666666666666742</v>
      </c>
      <c r="Q8" s="645">
        <v>73.333333333333329</v>
      </c>
      <c r="R8" s="645"/>
    </row>
    <row r="9" spans="1:18" ht="16.5" thickTop="1" thickBot="1" x14ac:dyDescent="0.3">
      <c r="A9" s="643" t="s">
        <v>75</v>
      </c>
      <c r="B9" s="651">
        <f>IF(B8+B6&gt;=B7,B8+B6-B7,B7-B6-B8)</f>
        <v>6.2500000000000222E-2</v>
      </c>
      <c r="C9" s="651">
        <f>IF(C8+C6&gt;=C7,C8+C6-C7,C7-C6-C8)</f>
        <v>8.3333333333333925E-2</v>
      </c>
      <c r="D9" s="651">
        <f t="shared" ref="D9" si="2">IF(D8+D6&gt;=D7,D8+D6-D7,D7-D6-D8)</f>
        <v>0.20902777777777803</v>
      </c>
      <c r="E9" s="651">
        <f>E8+E6-E7</f>
        <v>3.125E-2</v>
      </c>
      <c r="F9" s="651">
        <f t="shared" ref="F9:N9" si="3">IF(F8+F6&gt;=F7,F8+F6-F7,F7-F6-F8)</f>
        <v>2.2222222222222143E-2</v>
      </c>
      <c r="G9" s="651">
        <f t="shared" si="3"/>
        <v>2.0833333333333925E-2</v>
      </c>
      <c r="H9" s="651">
        <f t="shared" si="3"/>
        <v>2.0833333333333037E-2</v>
      </c>
      <c r="I9" s="651">
        <f t="shared" si="3"/>
        <v>2.0833333333333037E-2</v>
      </c>
      <c r="J9" s="651">
        <f t="shared" si="3"/>
        <v>2.0833333333333037E-2</v>
      </c>
      <c r="K9" s="651">
        <f t="shared" si="3"/>
        <v>2.0833333333332149E-2</v>
      </c>
      <c r="L9" s="651">
        <f t="shared" si="3"/>
        <v>3.1250000000000888E-2</v>
      </c>
      <c r="M9" s="651">
        <f t="shared" si="3"/>
        <v>2.0833333333333037E-2</v>
      </c>
      <c r="N9" s="651">
        <f t="shared" si="3"/>
        <v>5.2083333333333037E-2</v>
      </c>
      <c r="O9" s="645"/>
      <c r="P9">
        <f>10*8</f>
        <v>80</v>
      </c>
      <c r="R9" s="645"/>
    </row>
    <row r="10" spans="1:18" ht="13.5" thickTop="1" x14ac:dyDescent="0.2">
      <c r="B10" s="645"/>
      <c r="C10" s="645"/>
      <c r="D10" s="645"/>
      <c r="E10" s="645"/>
      <c r="F10" s="645"/>
      <c r="G10" s="645"/>
      <c r="H10" s="645"/>
      <c r="I10" s="645"/>
      <c r="J10" s="645"/>
      <c r="K10" s="645"/>
      <c r="L10" s="645"/>
      <c r="M10" s="645"/>
      <c r="N10" s="645"/>
      <c r="O10" s="645"/>
    </row>
    <row r="11" spans="1:18" x14ac:dyDescent="0.2">
      <c r="I11" s="638"/>
    </row>
    <row r="12" spans="1:18" x14ac:dyDescent="0.2">
      <c r="B12" t="s">
        <v>68</v>
      </c>
      <c r="C12" t="s">
        <v>69</v>
      </c>
      <c r="D12" t="s">
        <v>76</v>
      </c>
      <c r="K12" s="639"/>
    </row>
    <row r="13" spans="1:18" x14ac:dyDescent="0.2">
      <c r="A13" t="s">
        <v>77</v>
      </c>
      <c r="B13">
        <v>4</v>
      </c>
      <c r="C13">
        <v>0</v>
      </c>
      <c r="D13" s="645">
        <f>B13*B1</f>
        <v>1.3333333333333333</v>
      </c>
      <c r="K13" s="639"/>
    </row>
    <row r="14" spans="1:18" x14ac:dyDescent="0.2">
      <c r="A14" t="s">
        <v>78</v>
      </c>
      <c r="B14">
        <v>10</v>
      </c>
      <c r="C14" s="652">
        <v>12</v>
      </c>
      <c r="D14" s="645">
        <f>B14*B1+C14*C1</f>
        <v>6.833333333333333</v>
      </c>
      <c r="H14" s="652"/>
      <c r="I14" s="645"/>
      <c r="K14" s="639"/>
    </row>
    <row r="15" spans="1:18" x14ac:dyDescent="0.2">
      <c r="A15" t="s">
        <v>79</v>
      </c>
      <c r="B15">
        <v>0</v>
      </c>
      <c r="C15" s="652">
        <v>23</v>
      </c>
      <c r="D15" s="645">
        <f>C15*C1</f>
        <v>6.7083333333333339</v>
      </c>
      <c r="H15" s="652"/>
      <c r="I15" s="645"/>
    </row>
    <row r="16" spans="1:18" x14ac:dyDescent="0.2">
      <c r="A16" t="s">
        <v>80</v>
      </c>
      <c r="B16">
        <v>0</v>
      </c>
      <c r="C16" s="652">
        <v>21</v>
      </c>
      <c r="D16" s="645">
        <f>C16*C1</f>
        <v>6.125</v>
      </c>
      <c r="H16" s="652"/>
      <c r="I16" s="645"/>
    </row>
    <row r="17" spans="1:15" x14ac:dyDescent="0.2">
      <c r="A17" t="s">
        <v>81</v>
      </c>
      <c r="B17">
        <v>11</v>
      </c>
      <c r="C17" s="652">
        <v>11</v>
      </c>
      <c r="D17" s="645">
        <f>B17*B1+C17*C1</f>
        <v>6.875</v>
      </c>
      <c r="H17" s="652"/>
      <c r="I17" s="645"/>
    </row>
    <row r="18" spans="1:15" x14ac:dyDescent="0.2">
      <c r="A18" t="s">
        <v>82</v>
      </c>
      <c r="B18">
        <v>21</v>
      </c>
      <c r="C18" s="652">
        <v>0</v>
      </c>
      <c r="D18" s="645">
        <f>B18*B1</f>
        <v>7</v>
      </c>
      <c r="H18" s="652"/>
      <c r="I18" s="645"/>
    </row>
    <row r="19" spans="1:15" x14ac:dyDescent="0.2">
      <c r="A19" t="s">
        <v>83</v>
      </c>
      <c r="B19">
        <v>19</v>
      </c>
      <c r="C19" s="652">
        <v>0</v>
      </c>
      <c r="D19" s="645">
        <f>B19*$B$1</f>
        <v>6.333333333333333</v>
      </c>
      <c r="H19" s="652"/>
      <c r="I19" s="645"/>
    </row>
    <row r="20" spans="1:15" x14ac:dyDescent="0.2">
      <c r="A20" t="s">
        <v>84</v>
      </c>
      <c r="B20">
        <v>18</v>
      </c>
      <c r="C20" s="652">
        <v>0</v>
      </c>
      <c r="D20" s="645">
        <f t="shared" ref="D20:D25" si="4">B20*$B$1</f>
        <v>6</v>
      </c>
      <c r="H20" s="652"/>
      <c r="I20" s="645"/>
    </row>
    <row r="21" spans="1:15" x14ac:dyDescent="0.2">
      <c r="A21" t="s">
        <v>85</v>
      </c>
      <c r="B21">
        <v>19</v>
      </c>
      <c r="C21" s="652">
        <v>0</v>
      </c>
      <c r="D21" s="645">
        <f t="shared" si="4"/>
        <v>6.333333333333333</v>
      </c>
      <c r="H21" s="652"/>
      <c r="I21" s="645"/>
    </row>
    <row r="22" spans="1:15" x14ac:dyDescent="0.2">
      <c r="A22" t="s">
        <v>86</v>
      </c>
      <c r="B22">
        <v>20</v>
      </c>
      <c r="C22" s="652">
        <v>0</v>
      </c>
      <c r="D22" s="645">
        <f t="shared" si="4"/>
        <v>6.6666666666666661</v>
      </c>
      <c r="H22" s="652"/>
      <c r="I22" s="645"/>
    </row>
    <row r="23" spans="1:15" x14ac:dyDescent="0.2">
      <c r="A23" t="s">
        <v>87</v>
      </c>
      <c r="B23">
        <v>20</v>
      </c>
      <c r="C23" s="652">
        <v>0</v>
      </c>
      <c r="D23" s="645">
        <f t="shared" si="4"/>
        <v>6.6666666666666661</v>
      </c>
      <c r="H23" s="652"/>
      <c r="I23" s="645"/>
    </row>
    <row r="24" spans="1:15" x14ac:dyDescent="0.2">
      <c r="A24" t="s">
        <v>88</v>
      </c>
      <c r="B24">
        <v>22</v>
      </c>
      <c r="C24" s="652">
        <v>0</v>
      </c>
      <c r="D24" s="645">
        <f t="shared" si="4"/>
        <v>7.333333333333333</v>
      </c>
      <c r="H24" s="652"/>
      <c r="I24" s="645"/>
    </row>
    <row r="25" spans="1:15" x14ac:dyDescent="0.2">
      <c r="A25" t="s">
        <v>77</v>
      </c>
      <c r="B25">
        <v>17</v>
      </c>
      <c r="C25" s="652">
        <v>0</v>
      </c>
      <c r="D25" s="645">
        <f t="shared" si="4"/>
        <v>5.6666666666666661</v>
      </c>
      <c r="H25" s="652"/>
      <c r="I25" s="645"/>
    </row>
    <row r="26" spans="1:15" x14ac:dyDescent="0.2">
      <c r="B26">
        <f>SUM(B13:B25,C13:C25)</f>
        <v>248</v>
      </c>
      <c r="C26" s="652" t="s">
        <v>89</v>
      </c>
      <c r="D26" s="645">
        <f>SUM(D13:D25)</f>
        <v>79.875</v>
      </c>
      <c r="H26" s="652"/>
      <c r="I26" s="645"/>
    </row>
    <row r="27" spans="1:15" x14ac:dyDescent="0.2">
      <c r="C27" t="s">
        <v>90</v>
      </c>
      <c r="D27" s="645">
        <f>D26-Q8</f>
        <v>6.5416666666666714</v>
      </c>
      <c r="I27" s="645"/>
    </row>
    <row r="28" spans="1:15" x14ac:dyDescent="0.2">
      <c r="C28" t="s">
        <v>91</v>
      </c>
      <c r="D28" s="645">
        <f>23*B1</f>
        <v>7.6666666666666661</v>
      </c>
      <c r="E28" s="645">
        <f>12*C1+11*B1</f>
        <v>7.1666666666666661</v>
      </c>
      <c r="I28" s="645"/>
    </row>
    <row r="29" spans="1:15" x14ac:dyDescent="0.2">
      <c r="C29" t="s">
        <v>92</v>
      </c>
      <c r="D29" s="645">
        <f>D28-D27</f>
        <v>1.1249999999999947</v>
      </c>
      <c r="E29" s="645">
        <f>E28-D27</f>
        <v>0.62499999999999467</v>
      </c>
      <c r="I29" s="645"/>
      <c r="J29" s="652"/>
    </row>
    <row r="32" spans="1:15" x14ac:dyDescent="0.2">
      <c r="B32">
        <v>33.5</v>
      </c>
      <c r="C32">
        <v>166</v>
      </c>
      <c r="D32">
        <v>159</v>
      </c>
      <c r="E32">
        <v>63.75</v>
      </c>
      <c r="F32">
        <v>165.5</v>
      </c>
      <c r="G32">
        <v>168.5</v>
      </c>
      <c r="H32">
        <v>152.5</v>
      </c>
      <c r="I32">
        <v>144.5</v>
      </c>
      <c r="J32">
        <v>152.5</v>
      </c>
      <c r="K32">
        <v>160.5</v>
      </c>
      <c r="L32">
        <v>160.75</v>
      </c>
      <c r="M32">
        <v>176.5</v>
      </c>
      <c r="N32">
        <v>137.25</v>
      </c>
      <c r="O32">
        <f>SUM(B32:N32)</f>
        <v>1840.75</v>
      </c>
    </row>
    <row r="33" spans="15:15" x14ac:dyDescent="0.2">
      <c r="O33">
        <f>O32-1760</f>
        <v>80.75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9"/>
  <sheetViews>
    <sheetView topLeftCell="A19" workbookViewId="0">
      <selection activeCell="J37" sqref="J37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4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268" t="s">
        <v>0</v>
      </c>
      <c r="B1" s="683" t="s">
        <v>38</v>
      </c>
      <c r="C1" s="684"/>
      <c r="D1" s="685"/>
      <c r="E1" s="269" t="s">
        <v>1</v>
      </c>
      <c r="F1" s="270">
        <v>2.0833333333333329E-2</v>
      </c>
      <c r="I1" s="6" t="s">
        <v>2</v>
      </c>
      <c r="J1" s="271">
        <v>4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272" t="s">
        <v>3</v>
      </c>
      <c r="B2" s="690"/>
      <c r="C2" s="691"/>
      <c r="D2" s="692"/>
      <c r="E2" s="273" t="s">
        <v>4</v>
      </c>
      <c r="F2" s="274">
        <v>1.3888888888888888E-2</v>
      </c>
      <c r="I2" s="8" t="s">
        <v>5</v>
      </c>
      <c r="J2" s="275">
        <v>0.33333333333333331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276" t="s">
        <v>6</v>
      </c>
      <c r="B3" s="693">
        <v>46143</v>
      </c>
      <c r="C3" s="694"/>
      <c r="D3" s="695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07"/>
      <c r="M4" s="402"/>
      <c r="N4" s="696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277" t="s">
        <v>7</v>
      </c>
      <c r="B5" s="278" t="s">
        <v>8</v>
      </c>
      <c r="C5" s="278" t="s">
        <v>9</v>
      </c>
      <c r="D5" s="278" t="s">
        <v>10</v>
      </c>
      <c r="E5" s="278" t="s">
        <v>11</v>
      </c>
      <c r="F5" s="278" t="s">
        <v>12</v>
      </c>
      <c r="G5" s="278" t="s">
        <v>13</v>
      </c>
      <c r="H5" s="278" t="s">
        <v>14</v>
      </c>
      <c r="I5" s="278" t="s">
        <v>15</v>
      </c>
      <c r="J5" s="278" t="s">
        <v>16</v>
      </c>
      <c r="K5" s="278" t="s">
        <v>17</v>
      </c>
      <c r="L5" s="278" t="s">
        <v>18</v>
      </c>
      <c r="M5" s="116" t="s">
        <v>44</v>
      </c>
      <c r="N5" s="117" t="s">
        <v>12</v>
      </c>
      <c r="O5" s="118" t="s">
        <v>15</v>
      </c>
      <c r="T5" s="55">
        <f>C46</f>
        <v>1.3333333333333333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222"/>
      <c r="B6" s="223"/>
      <c r="C6" s="223"/>
      <c r="D6" s="223"/>
      <c r="E6" s="223"/>
      <c r="F6" s="223"/>
      <c r="G6" s="223"/>
      <c r="H6" s="223"/>
      <c r="I6" s="223"/>
      <c r="J6" s="224"/>
      <c r="K6" s="224"/>
      <c r="L6" s="451"/>
      <c r="M6" s="395"/>
      <c r="N6" s="122"/>
      <c r="O6" s="123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628" t="s">
        <v>49</v>
      </c>
      <c r="AA6" s="628" t="s">
        <v>50</v>
      </c>
      <c r="AB6" s="629" t="s">
        <v>51</v>
      </c>
      <c r="AC6" s="104"/>
      <c r="AD6" s="186"/>
    </row>
    <row r="7" spans="1:31" ht="12.75" customHeight="1" thickBot="1" x14ac:dyDescent="0.25">
      <c r="A7" s="587"/>
      <c r="B7" s="588"/>
      <c r="C7" s="588"/>
      <c r="D7" s="588"/>
      <c r="E7" s="588"/>
      <c r="F7" s="588"/>
      <c r="G7" s="588"/>
      <c r="H7" s="588"/>
      <c r="I7" s="588"/>
      <c r="J7" s="591"/>
      <c r="K7" s="589"/>
      <c r="L7" s="590"/>
      <c r="M7" s="585"/>
      <c r="N7" s="211"/>
      <c r="O7" s="212"/>
      <c r="P7" s="428">
        <f>MROUND(L7,"0:15")</f>
        <v>0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1</v>
      </c>
      <c r="R7" s="71"/>
      <c r="S7" s="72"/>
      <c r="T7" s="421">
        <f>T5-L7</f>
        <v>1.3333333333333333</v>
      </c>
      <c r="U7" s="555"/>
      <c r="V7" s="76">
        <v>0</v>
      </c>
      <c r="W7" s="280"/>
      <c r="X7" s="701"/>
      <c r="Y7" s="150" t="str">
        <f>IF(O7="O",V7 - AA7,"0:00:00")</f>
        <v>0:00:00</v>
      </c>
      <c r="Z7" s="138" t="str">
        <f>IF(M7="C",P7,"0:00:00")</f>
        <v>0:00:00</v>
      </c>
      <c r="AA7" s="138" t="str">
        <f>IF(P7="M",Q7-P7,"0:00:00")</f>
        <v>0:00:00</v>
      </c>
      <c r="AB7" s="157">
        <f>SUM(Y7:Z7)</f>
        <v>0</v>
      </c>
      <c r="AC7" s="139">
        <v>0</v>
      </c>
      <c r="AD7" s="188"/>
      <c r="AE7" s="256"/>
    </row>
    <row r="8" spans="1:31" ht="12.75" customHeight="1" thickBot="1" x14ac:dyDescent="0.25">
      <c r="A8" s="587"/>
      <c r="B8" s="588"/>
      <c r="C8" s="588"/>
      <c r="D8" s="588"/>
      <c r="E8" s="588"/>
      <c r="F8" s="588"/>
      <c r="G8" s="588"/>
      <c r="H8" s="588"/>
      <c r="I8" s="588"/>
      <c r="J8" s="589"/>
      <c r="K8" s="589"/>
      <c r="L8" s="590"/>
      <c r="M8" s="585"/>
      <c r="N8" s="211"/>
      <c r="O8" s="212"/>
      <c r="P8" s="428">
        <f>MROUND(L8,"0:15")</f>
        <v>0</v>
      </c>
      <c r="Q8" s="95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1</v>
      </c>
      <c r="R8" s="95"/>
      <c r="S8" s="96"/>
      <c r="T8" s="422">
        <f>T7-L8</f>
        <v>1.3333333333333333</v>
      </c>
      <c r="U8" s="559"/>
      <c r="V8" s="77">
        <v>0</v>
      </c>
      <c r="W8" s="193"/>
      <c r="X8" s="689"/>
      <c r="Y8" s="580" t="str">
        <f>IF(M8="O",P8 - AA8,"0:00:00")</f>
        <v>0:00:00</v>
      </c>
      <c r="Z8" s="581" t="str">
        <f>IF(M8="C",P8,"0:00:00")</f>
        <v>0:00:00</v>
      </c>
      <c r="AA8" s="562">
        <v>0</v>
      </c>
      <c r="AB8" s="563">
        <f>SUM(Y8:Z8)</f>
        <v>0</v>
      </c>
      <c r="AC8" s="141">
        <v>0</v>
      </c>
      <c r="AD8" s="189"/>
    </row>
    <row r="9" spans="1:31" s="1" customFormat="1" ht="12.75" customHeight="1" thickBot="1" x14ac:dyDescent="0.25">
      <c r="A9" s="587"/>
      <c r="B9" s="588"/>
      <c r="C9" s="588"/>
      <c r="D9" s="588"/>
      <c r="E9" s="588"/>
      <c r="F9" s="588"/>
      <c r="G9" s="588"/>
      <c r="H9" s="588"/>
      <c r="I9" s="588"/>
      <c r="J9" s="589"/>
      <c r="K9" s="589"/>
      <c r="L9" s="590"/>
      <c r="M9" s="405" t="s">
        <v>45</v>
      </c>
      <c r="N9" s="211"/>
      <c r="O9" s="212"/>
      <c r="P9" s="428">
        <f>MROUND(L9,"0:15")</f>
        <v>0</v>
      </c>
      <c r="Q9" s="8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1</v>
      </c>
      <c r="R9" s="84"/>
      <c r="S9" s="85"/>
      <c r="T9" s="423">
        <f>T8-L9</f>
        <v>1.3333333333333333</v>
      </c>
      <c r="U9" s="564"/>
      <c r="V9" s="182">
        <v>0</v>
      </c>
      <c r="W9" s="281"/>
      <c r="X9" s="689"/>
      <c r="Y9" s="567">
        <f>IF(M9="O",P9 - AA9,"0:00:00")</f>
        <v>0</v>
      </c>
      <c r="Z9" s="567" t="str">
        <f>IF(M9="C",P9,"0:00:00")</f>
        <v>0:00:00</v>
      </c>
      <c r="AA9" s="577" t="str">
        <f>IF(P9="M",Q9-P9,"0:00:00")</f>
        <v>0:00:00</v>
      </c>
      <c r="AB9" s="568">
        <f>SUM(Y9:Z9)</f>
        <v>0</v>
      </c>
      <c r="AC9" s="195">
        <v>0</v>
      </c>
      <c r="AD9" s="196" t="b">
        <f>V9=AC9</f>
        <v>1</v>
      </c>
    </row>
    <row r="10" spans="1:31" ht="12.75" customHeight="1" thickBot="1" x14ac:dyDescent="0.25">
      <c r="A10" s="587"/>
      <c r="B10" s="588"/>
      <c r="C10" s="588"/>
      <c r="D10" s="588"/>
      <c r="E10" s="588"/>
      <c r="F10" s="588"/>
      <c r="G10" s="588"/>
      <c r="H10" s="588"/>
      <c r="I10" s="588"/>
      <c r="J10" s="589"/>
      <c r="K10" s="589"/>
      <c r="L10" s="590"/>
      <c r="M10" s="405" t="s">
        <v>45</v>
      </c>
      <c r="N10" s="213"/>
      <c r="O10" s="214"/>
      <c r="P10" s="428">
        <f>MROUND(L10,"0:15")</f>
        <v>0</v>
      </c>
      <c r="Q10" s="8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1</v>
      </c>
      <c r="R10" s="84"/>
      <c r="S10" s="85"/>
      <c r="T10" s="423">
        <f>T9-L10</f>
        <v>1.3333333333333333</v>
      </c>
      <c r="U10" s="564"/>
      <c r="V10" s="182">
        <v>0.45833333333333331</v>
      </c>
      <c r="W10" s="281"/>
      <c r="X10" s="689"/>
      <c r="Y10" s="562">
        <f>IF(M10="O",P10 - AA10,"0:00:00")</f>
        <v>0</v>
      </c>
      <c r="Z10" s="562" t="str">
        <f>IF(M10="C",P10,"0:00:00")</f>
        <v>0:00:00</v>
      </c>
      <c r="AA10" s="578" t="str">
        <f>IF(P10="M",Q10-P10,"0:00:00")</f>
        <v>0:00:00</v>
      </c>
      <c r="AB10" s="563">
        <f>SUM(Y10:Z10)</f>
        <v>0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630">
        <v>46143</v>
      </c>
      <c r="B11" s="631"/>
      <c r="C11" s="631"/>
      <c r="D11" s="631"/>
      <c r="E11" s="631"/>
      <c r="F11" s="631"/>
      <c r="G11" s="631"/>
      <c r="H11" s="631"/>
      <c r="I11" s="631"/>
      <c r="J11" s="632">
        <v>0</v>
      </c>
      <c r="K11" s="632">
        <f>IF((D11-C11)&lt;=$F$2,0,(D11-C11)-$F$2)</f>
        <v>0</v>
      </c>
      <c r="L11" s="633">
        <f>(I11-B11)-K11-(H11-G11)-J11</f>
        <v>0</v>
      </c>
      <c r="M11" s="405" t="s">
        <v>45</v>
      </c>
      <c r="N11" s="211"/>
      <c r="O11" s="212"/>
      <c r="P11" s="428">
        <f>MROUND(L11,"0:15")</f>
        <v>0</v>
      </c>
      <c r="Q11" s="197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1</v>
      </c>
      <c r="R11" s="197"/>
      <c r="S11" s="198"/>
      <c r="T11" s="445">
        <f>T10-L11</f>
        <v>1.3333333333333333</v>
      </c>
      <c r="U11" s="569"/>
      <c r="V11" s="182">
        <v>0.29166666666666669</v>
      </c>
      <c r="W11" s="281">
        <v>45261</v>
      </c>
      <c r="X11" s="702"/>
      <c r="Y11" s="152">
        <f>IF(M11="O",P11 - AA11,"0:00:00")</f>
        <v>0</v>
      </c>
      <c r="Z11" s="152" t="str">
        <f>IF(M11="C",P11,"0:00:00")</f>
        <v>0:00:00</v>
      </c>
      <c r="AA11" s="505" t="str">
        <f>IF(P11="M",Q11-P11,"0:00:00")</f>
        <v>0:00:00</v>
      </c>
      <c r="AB11" s="159">
        <f>SUM(Y11:Z11)</f>
        <v>0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0</v>
      </c>
      <c r="M12" s="396"/>
      <c r="N12" s="122"/>
      <c r="O12" s="123"/>
      <c r="P12" s="703">
        <f>SUM(P7:P11)</f>
        <v>0</v>
      </c>
      <c r="Q12" s="704"/>
      <c r="R12" s="704"/>
      <c r="S12" s="704"/>
      <c r="T12" s="705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397"/>
      <c r="N13" s="122"/>
      <c r="O13" s="123"/>
      <c r="P13" s="426"/>
      <c r="Q13" s="57">
        <f>Q11</f>
        <v>1</v>
      </c>
      <c r="R13" s="57"/>
      <c r="S13" s="58"/>
      <c r="T13" s="541"/>
      <c r="U13" s="374"/>
      <c r="V13" s="35"/>
      <c r="W13" s="69"/>
      <c r="X13" s="148"/>
      <c r="Y13" s="241"/>
      <c r="Z13" s="242"/>
      <c r="AA13" s="162"/>
      <c r="AB13" s="163"/>
      <c r="AC13" s="146"/>
      <c r="AD13" s="149"/>
    </row>
    <row r="14" spans="1:31" s="1" customFormat="1" ht="12" thickBot="1" x14ac:dyDescent="0.25">
      <c r="A14" s="634">
        <v>46146</v>
      </c>
      <c r="B14" s="631"/>
      <c r="C14" s="631"/>
      <c r="D14" s="631"/>
      <c r="E14" s="631"/>
      <c r="F14" s="631"/>
      <c r="G14" s="631"/>
      <c r="H14" s="631"/>
      <c r="I14" s="631"/>
      <c r="J14" s="632">
        <v>0</v>
      </c>
      <c r="K14" s="632">
        <f>IF((D14-C14)&lt;=$F$2,0,(D14-C14)-$F$2)</f>
        <v>0</v>
      </c>
      <c r="L14" s="633">
        <f>(I14-B14)-K14-(H14-G14)-J14</f>
        <v>0</v>
      </c>
      <c r="M14" s="403" t="s">
        <v>45</v>
      </c>
      <c r="N14" s="211"/>
      <c r="O14" s="212"/>
      <c r="P14" s="428">
        <f>MROUND(L14,"0:15")</f>
        <v>0</v>
      </c>
      <c r="Q14" s="201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1</v>
      </c>
      <c r="R14" s="201"/>
      <c r="S14" s="202"/>
      <c r="T14" s="429">
        <f>T11-L14</f>
        <v>1.3333333333333333</v>
      </c>
      <c r="U14" s="571"/>
      <c r="V14" s="205">
        <v>0.30208333333333331</v>
      </c>
      <c r="W14" s="283">
        <v>45264</v>
      </c>
      <c r="X14" s="682"/>
      <c r="Y14" s="344">
        <f>IF(M14="O",P14 - AA14,"0:00:00")</f>
        <v>0</v>
      </c>
      <c r="Z14" s="344" t="str">
        <f>IF(M14="C",P14,"0:00:00")</f>
        <v>0:00:00</v>
      </c>
      <c r="AA14" s="534" t="str">
        <f>IF(P14="M",Q14-P14,"0:00:00")</f>
        <v>0:00:00</v>
      </c>
      <c r="AB14" s="535">
        <f>SUM(Y14:Z14)</f>
        <v>0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634">
        <v>46147</v>
      </c>
      <c r="B15" s="635"/>
      <c r="C15" s="635"/>
      <c r="D15" s="635"/>
      <c r="E15" s="635"/>
      <c r="F15" s="635"/>
      <c r="G15" s="635"/>
      <c r="H15" s="635"/>
      <c r="I15" s="635"/>
      <c r="J15" s="632">
        <v>0</v>
      </c>
      <c r="K15" s="632">
        <f>IF((D15-C15)&lt;=$F$2,0,(D15-C15)-$F$2)</f>
        <v>0</v>
      </c>
      <c r="L15" s="633">
        <f>(I15-B15)-K15-(H15-G15)-J15</f>
        <v>0</v>
      </c>
      <c r="M15" s="405" t="s">
        <v>53</v>
      </c>
      <c r="N15" s="211"/>
      <c r="O15" s="212"/>
      <c r="P15" s="428">
        <f>MROUND(L15,"0:15")</f>
        <v>0</v>
      </c>
      <c r="Q15" s="8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1</v>
      </c>
      <c r="R15" s="84"/>
      <c r="S15" s="85"/>
      <c r="T15" s="423">
        <f>T14-L15</f>
        <v>1.3333333333333333</v>
      </c>
      <c r="U15" s="564"/>
      <c r="V15" s="206">
        <v>0.25</v>
      </c>
      <c r="W15" s="283">
        <v>45265</v>
      </c>
      <c r="X15" s="682"/>
      <c r="Y15" s="140" t="str">
        <f>IF(M15="O",P15 - AA15,"0:00:00")</f>
        <v>0:00:00</v>
      </c>
      <c r="Z15" s="140">
        <f>IF(M15="C",P15,"0:00:00")</f>
        <v>0</v>
      </c>
      <c r="AA15" s="140" t="str">
        <f>IF(P15="M",Q15-P15,"0:00:00")</f>
        <v>0:00:00</v>
      </c>
      <c r="AB15" s="140">
        <f>SUM(Y15:Z15)</f>
        <v>0</v>
      </c>
      <c r="AC15" s="141">
        <v>0.25</v>
      </c>
      <c r="AD15" s="189" t="b">
        <f>V15=AC15</f>
        <v>1</v>
      </c>
    </row>
    <row r="16" spans="1:31" s="1" customFormat="1" ht="12.75" customHeight="1" thickBot="1" x14ac:dyDescent="0.25">
      <c r="A16" s="634">
        <v>46148</v>
      </c>
      <c r="B16" s="635"/>
      <c r="C16" s="636"/>
      <c r="D16" s="636"/>
      <c r="E16" s="631"/>
      <c r="F16" s="631"/>
      <c r="G16" s="631"/>
      <c r="H16" s="631"/>
      <c r="I16" s="636"/>
      <c r="J16" s="632">
        <v>0</v>
      </c>
      <c r="K16" s="632">
        <f>IF((D16-C16)&lt;=$F$2,0,(D16-C16)-$F$2)</f>
        <v>0</v>
      </c>
      <c r="L16" s="633">
        <f>(I16-B16)-K16-(H16-G16)-J16</f>
        <v>0</v>
      </c>
      <c r="M16" s="405" t="s">
        <v>45</v>
      </c>
      <c r="N16" s="211"/>
      <c r="O16" s="212"/>
      <c r="P16" s="428">
        <f>MROUND(L16,"0:15")</f>
        <v>0</v>
      </c>
      <c r="Q16" s="95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1</v>
      </c>
      <c r="R16" s="95"/>
      <c r="S16" s="96"/>
      <c r="T16" s="431">
        <f>T15-P16</f>
        <v>1.3333333333333333</v>
      </c>
      <c r="U16" s="572"/>
      <c r="V16" s="206">
        <v>0.23958333333333334</v>
      </c>
      <c r="W16" s="283">
        <v>45266</v>
      </c>
      <c r="X16" s="682"/>
      <c r="Y16" s="140">
        <f>IF(M16="O",P16 - AA16,"0:00:00")</f>
        <v>0</v>
      </c>
      <c r="Z16" s="140" t="str">
        <f>IF(M16="C",P16,"0:00:00")</f>
        <v>0:00:00</v>
      </c>
      <c r="AA16" s="140" t="str">
        <f>IF(P16="M",Q16-P16,"0:00:00")</f>
        <v>0:00:00</v>
      </c>
      <c r="AB16" s="140">
        <f>SUM(Y16:Z16)</f>
        <v>0</v>
      </c>
      <c r="AC16" s="141">
        <v>0.23958333333333334</v>
      </c>
      <c r="AD16" s="189" t="b">
        <f>V16=AC16</f>
        <v>1</v>
      </c>
    </row>
    <row r="17" spans="1:30" ht="12.75" customHeight="1" thickBot="1" x14ac:dyDescent="0.25">
      <c r="A17" s="634">
        <v>46149</v>
      </c>
      <c r="B17" s="636"/>
      <c r="C17" s="636"/>
      <c r="D17" s="636"/>
      <c r="E17" s="631"/>
      <c r="F17" s="631"/>
      <c r="G17" s="631"/>
      <c r="H17" s="631"/>
      <c r="I17" s="635"/>
      <c r="J17" s="632">
        <v>0</v>
      </c>
      <c r="K17" s="632">
        <f>IF((D17-C17)&lt;=$F$2,0,(D17-C17)-$F$2)</f>
        <v>0</v>
      </c>
      <c r="L17" s="633">
        <f>(I17-B17)-K17-(H17-G17)-J17</f>
        <v>0</v>
      </c>
      <c r="M17" s="405" t="s">
        <v>45</v>
      </c>
      <c r="N17" s="213"/>
      <c r="O17" s="214"/>
      <c r="P17" s="428">
        <f>MROUND(L17,"0:15")</f>
        <v>0</v>
      </c>
      <c r="Q17" s="8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1</v>
      </c>
      <c r="R17" s="84"/>
      <c r="S17" s="85"/>
      <c r="T17" s="432">
        <f>T16-P17</f>
        <v>1.3333333333333333</v>
      </c>
      <c r="U17" s="574"/>
      <c r="V17" s="206">
        <v>0</v>
      </c>
      <c r="W17" s="283">
        <v>45267</v>
      </c>
      <c r="X17" s="682"/>
      <c r="Y17" s="140">
        <f>IF(M17="O",P17 - AA17,"0:00:00")</f>
        <v>0</v>
      </c>
      <c r="Z17" s="140" t="str">
        <f>IF(M17="C",P17,"0:00:00")</f>
        <v>0:00:00</v>
      </c>
      <c r="AA17" s="537" t="str">
        <f>IF(P17="M",Q17-P17,"0:00:00")</f>
        <v>0:00:00</v>
      </c>
      <c r="AB17" s="344">
        <f>SUM(Y17:Z17)</f>
        <v>0</v>
      </c>
      <c r="AC17" s="195">
        <v>0</v>
      </c>
      <c r="AD17" s="196" t="b">
        <f>V17=AC17</f>
        <v>1</v>
      </c>
    </row>
    <row r="18" spans="1:30" ht="13.5" thickBot="1" x14ac:dyDescent="0.25">
      <c r="A18" s="634">
        <v>46150</v>
      </c>
      <c r="B18" s="635"/>
      <c r="C18" s="635"/>
      <c r="D18" s="635"/>
      <c r="E18" s="631"/>
      <c r="F18" s="631"/>
      <c r="G18" s="631"/>
      <c r="H18" s="631"/>
      <c r="I18" s="635"/>
      <c r="J18" s="632">
        <v>0</v>
      </c>
      <c r="K18" s="632">
        <f>IF((D18-C18)&lt;=$F$2,0,(D18-C18)-$F$2)</f>
        <v>0</v>
      </c>
      <c r="L18" s="633">
        <f>(I18-B18)-K18-(H18-G18)-J18</f>
        <v>0</v>
      </c>
      <c r="M18" s="405" t="s">
        <v>53</v>
      </c>
      <c r="N18" s="211"/>
      <c r="O18" s="212"/>
      <c r="P18" s="428">
        <f>MROUND(L18,"0:15")</f>
        <v>0</v>
      </c>
      <c r="Q18" s="199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1</v>
      </c>
      <c r="R18" s="199"/>
      <c r="S18" s="200"/>
      <c r="T18" s="433">
        <f>T17-L18</f>
        <v>1.3333333333333333</v>
      </c>
      <c r="U18" s="573"/>
      <c r="V18" s="207">
        <v>0</v>
      </c>
      <c r="W18" s="283">
        <v>45268</v>
      </c>
      <c r="X18" s="682"/>
      <c r="Y18" s="364" t="str">
        <f>IF(M18="O",P18 - AA18,"0:00:00")</f>
        <v>0:00:00</v>
      </c>
      <c r="Z18" s="365">
        <f>IF(M18="C",P18,"0:00:00")</f>
        <v>0</v>
      </c>
      <c r="AA18" s="143" t="str">
        <f>IF(P18="M",Q18-P18,"0:00:00")</f>
        <v>0:00:00</v>
      </c>
      <c r="AB18" s="159">
        <f>SUM(Y18:Z18)</f>
        <v>0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0</v>
      </c>
      <c r="M19" s="396"/>
      <c r="N19" s="122"/>
      <c r="O19" s="123"/>
      <c r="P19" s="706">
        <f>SUM(P14:P18)</f>
        <v>0</v>
      </c>
      <c r="Q19" s="707"/>
      <c r="R19" s="707"/>
      <c r="S19" s="707"/>
      <c r="T19" s="708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454"/>
      <c r="N20" s="122"/>
      <c r="O20" s="123"/>
      <c r="P20" s="434"/>
      <c r="Q20" s="61">
        <f>Q18</f>
        <v>1</v>
      </c>
      <c r="R20" s="61"/>
      <c r="S20" s="62"/>
      <c r="T20" s="542"/>
      <c r="U20" s="385"/>
      <c r="V20" s="35"/>
      <c r="W20" s="79"/>
      <c r="X20" s="148"/>
      <c r="Y20" s="241"/>
      <c r="Z20" s="242"/>
      <c r="AA20" s="162"/>
      <c r="AB20" s="163"/>
      <c r="AC20" s="146"/>
      <c r="AD20" s="149"/>
    </row>
    <row r="21" spans="1:30" ht="12.75" customHeight="1" thickBot="1" x14ac:dyDescent="0.25">
      <c r="A21" s="634">
        <v>46184</v>
      </c>
      <c r="B21" s="635"/>
      <c r="C21" s="631"/>
      <c r="D21" s="631"/>
      <c r="E21" s="631"/>
      <c r="F21" s="631"/>
      <c r="G21" s="631"/>
      <c r="H21" s="631"/>
      <c r="I21" s="631"/>
      <c r="J21" s="632">
        <v>0</v>
      </c>
      <c r="K21" s="632">
        <f>IF((D21-C21)&lt;=$F$2,0,(D21-C21)-$F$2)</f>
        <v>0</v>
      </c>
      <c r="L21" s="633">
        <f>(I21-B21)-K21-(H21-G21)-J21</f>
        <v>0</v>
      </c>
      <c r="M21" s="403" t="s">
        <v>45</v>
      </c>
      <c r="N21" s="211"/>
      <c r="O21" s="212"/>
      <c r="P21" s="428">
        <f>MROUND(L21,"0:15")</f>
        <v>0</v>
      </c>
      <c r="Q21" s="98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1</v>
      </c>
      <c r="R21" s="98"/>
      <c r="S21" s="99"/>
      <c r="T21" s="436">
        <f>T18-L21</f>
        <v>1.3333333333333333</v>
      </c>
      <c r="U21" s="514"/>
      <c r="V21" s="205">
        <v>0.36458333333333331</v>
      </c>
      <c r="W21" s="280">
        <v>45271</v>
      </c>
      <c r="X21" s="682"/>
      <c r="Y21" s="344">
        <f>IF(M21="O",P21 - AA21,"0:00:00")</f>
        <v>0</v>
      </c>
      <c r="Z21" s="344" t="str">
        <f>IF(M21="C",P21,"0:00:00")</f>
        <v>0:00:00</v>
      </c>
      <c r="AA21" s="531" t="str">
        <f>IF(P21="M",Q21-P21,"0:00:00")</f>
        <v>0:00:00</v>
      </c>
      <c r="AB21" s="157">
        <f>SUM(Y21:Z21)</f>
        <v>0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634">
        <v>46185</v>
      </c>
      <c r="B22" s="631"/>
      <c r="C22" s="631"/>
      <c r="D22" s="631"/>
      <c r="E22" s="631"/>
      <c r="F22" s="631"/>
      <c r="G22" s="631"/>
      <c r="H22" s="631"/>
      <c r="I22" s="631"/>
      <c r="J22" s="632">
        <v>0</v>
      </c>
      <c r="K22" s="632">
        <f>IF((D22-C22)&lt;=$F$2,0,(D22-C22)-$F$2)</f>
        <v>0</v>
      </c>
      <c r="L22" s="633">
        <f>(I22-B22)-K22-(H22-G22)-J22</f>
        <v>0</v>
      </c>
      <c r="M22" s="405" t="s">
        <v>53</v>
      </c>
      <c r="N22" s="211"/>
      <c r="O22" s="212"/>
      <c r="P22" s="428">
        <f>MROUND(L22,"0:15")</f>
        <v>0</v>
      </c>
      <c r="Q22" s="95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1</v>
      </c>
      <c r="R22" s="95"/>
      <c r="S22" s="96"/>
      <c r="T22" s="422">
        <f>T21-L22</f>
        <v>1.3333333333333333</v>
      </c>
      <c r="U22" s="559"/>
      <c r="V22" s="206">
        <v>0.36458333333333331</v>
      </c>
      <c r="W22" s="280">
        <v>45272</v>
      </c>
      <c r="X22" s="682"/>
      <c r="Y22" s="140" t="str">
        <f>IF(M22="O",P22 - AA22,"0:00:00")</f>
        <v>0:00:00</v>
      </c>
      <c r="Z22" s="140">
        <f>IF(M22="C",P22,"0:00:00")</f>
        <v>0</v>
      </c>
      <c r="AA22" s="504" t="str">
        <f>IF(P22="M",Q22-P22,"0:00:00")</f>
        <v>0:00:00</v>
      </c>
      <c r="AB22" s="158">
        <f>SUM(Y22:Z22)</f>
        <v>0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634">
        <v>46186</v>
      </c>
      <c r="B23" s="631"/>
      <c r="C23" s="631"/>
      <c r="D23" s="631"/>
      <c r="E23" s="631"/>
      <c r="F23" s="631"/>
      <c r="G23" s="631"/>
      <c r="H23" s="631"/>
      <c r="I23" s="631"/>
      <c r="J23" s="632">
        <v>0</v>
      </c>
      <c r="K23" s="632">
        <f>IF((D23-C23)&lt;=$F$2,0,(D23-C23)-$F$2)</f>
        <v>0</v>
      </c>
      <c r="L23" s="633">
        <f>(I23-B23)-K23-(H23-G23)-J23</f>
        <v>0</v>
      </c>
      <c r="M23" s="405" t="s">
        <v>45</v>
      </c>
      <c r="N23" s="211"/>
      <c r="O23" s="212"/>
      <c r="P23" s="428">
        <f>MROUND(L23,"0:15")</f>
        <v>0</v>
      </c>
      <c r="Q23" s="95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1</v>
      </c>
      <c r="R23" s="95"/>
      <c r="S23" s="96"/>
      <c r="T23" s="422">
        <f>T22-L23</f>
        <v>1.3333333333333333</v>
      </c>
      <c r="U23" s="559"/>
      <c r="V23" s="206">
        <v>0.45833333333333331</v>
      </c>
      <c r="W23" s="280">
        <v>45273</v>
      </c>
      <c r="X23" s="682"/>
      <c r="Y23" s="140">
        <f>IF(M23="O",P23 - AA23,"0:00:00")</f>
        <v>0</v>
      </c>
      <c r="Z23" s="140" t="str">
        <f>IF(M23="C",P23,"0:00:00")</f>
        <v>0:00:00</v>
      </c>
      <c r="AA23" s="504" t="str">
        <f>IF(P23="M",Q23-P23,"0:00:00")</f>
        <v>0:00:00</v>
      </c>
      <c r="AB23" s="158">
        <f>SUM(Y23:Z23)</f>
        <v>0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634">
        <v>46187</v>
      </c>
      <c r="B24" s="631"/>
      <c r="C24" s="631"/>
      <c r="D24" s="631"/>
      <c r="E24" s="631"/>
      <c r="F24" s="631"/>
      <c r="G24" s="631"/>
      <c r="H24" s="631"/>
      <c r="I24" s="631"/>
      <c r="J24" s="632">
        <v>0</v>
      </c>
      <c r="K24" s="632">
        <f>IF((D24-C24)&lt;=$F$2,0,(D24-C24)-$F$2)</f>
        <v>0</v>
      </c>
      <c r="L24" s="633">
        <f>(I24-B24)-K24-(H24-G24)-J24</f>
        <v>0</v>
      </c>
      <c r="M24" s="405" t="s">
        <v>53</v>
      </c>
      <c r="N24" s="211"/>
      <c r="O24" s="212"/>
      <c r="P24" s="428">
        <f>MROUND(L24,"0:15")</f>
        <v>0</v>
      </c>
      <c r="Q24" s="249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1</v>
      </c>
      <c r="R24" s="249"/>
      <c r="S24" s="250"/>
      <c r="T24" s="437">
        <f>T23-L24</f>
        <v>1.3333333333333333</v>
      </c>
      <c r="U24" s="559"/>
      <c r="V24" s="182">
        <v>0.32291666666666669</v>
      </c>
      <c r="W24" s="280">
        <v>45274</v>
      </c>
      <c r="X24" s="682"/>
      <c r="Y24" s="140" t="str">
        <f>IF(M24="O",P24 - AA24,"0:00:00")</f>
        <v>0:00:00</v>
      </c>
      <c r="Z24" s="140">
        <f>IF(M24="C",P24,"0:00:00")</f>
        <v>0</v>
      </c>
      <c r="AA24" s="504" t="str">
        <f>IF(P24="M",Q24-P24,"0:00:00")</f>
        <v>0:00:00</v>
      </c>
      <c r="AB24" s="158">
        <f>SUM(Y24:Z24)</f>
        <v>0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634">
        <v>46188</v>
      </c>
      <c r="B25" s="631"/>
      <c r="C25" s="631"/>
      <c r="D25" s="631"/>
      <c r="E25" s="631"/>
      <c r="F25" s="631"/>
      <c r="G25" s="631"/>
      <c r="H25" s="631"/>
      <c r="I25" s="631"/>
      <c r="J25" s="632">
        <v>0</v>
      </c>
      <c r="K25" s="632">
        <f>IF((D25-C25)&lt;=$F$2,0,(D25-C25)-$F$2)</f>
        <v>0</v>
      </c>
      <c r="L25" s="633">
        <f>(I25-B25)-K25-(H25-G25)-J25</f>
        <v>0</v>
      </c>
      <c r="M25" s="405" t="s">
        <v>53</v>
      </c>
      <c r="N25" s="211"/>
      <c r="O25" s="212"/>
      <c r="P25" s="428">
        <f>MROUND(L25,"0:15")</f>
        <v>0</v>
      </c>
      <c r="Q25" s="251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1</v>
      </c>
      <c r="R25" s="251"/>
      <c r="S25" s="252"/>
      <c r="T25" s="438">
        <f>T24-L25</f>
        <v>1.3333333333333333</v>
      </c>
      <c r="U25" s="575"/>
      <c r="V25" s="182">
        <v>0.36458333333333331</v>
      </c>
      <c r="W25" s="280">
        <v>45275</v>
      </c>
      <c r="X25" s="682"/>
      <c r="Y25" s="152" t="str">
        <f>IF(M25="O",P25 - AA25,"0:00:00")</f>
        <v>0:00:00</v>
      </c>
      <c r="Z25" s="502">
        <f>IF(M25="C",P25,"0:00:00")</f>
        <v>0</v>
      </c>
      <c r="AA25" s="143" t="str">
        <f>IF(P25="M",Q25-P25,"0:00:00")</f>
        <v>0:00:00</v>
      </c>
      <c r="AB25" s="159">
        <f>SUM(Y25:Z25)</f>
        <v>0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0</v>
      </c>
      <c r="M26" s="396"/>
      <c r="N26" s="128"/>
      <c r="O26" s="129"/>
      <c r="P26" s="706">
        <f>SUM(P21:P25)</f>
        <v>0</v>
      </c>
      <c r="Q26" s="707"/>
      <c r="R26" s="707"/>
      <c r="S26" s="707"/>
      <c r="T26" s="708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417"/>
      <c r="N27" s="130"/>
      <c r="O27" s="131"/>
      <c r="P27" s="426"/>
      <c r="Q27" s="57">
        <f>Q25</f>
        <v>1</v>
      </c>
      <c r="R27" s="57"/>
      <c r="S27" s="58"/>
      <c r="T27" s="541"/>
      <c r="U27" s="374"/>
      <c r="V27" s="35"/>
      <c r="W27" s="81"/>
      <c r="X27" s="148"/>
      <c r="Y27" s="241"/>
      <c r="Z27" s="242"/>
      <c r="AA27" s="162"/>
      <c r="AB27" s="163"/>
      <c r="AC27" s="146"/>
      <c r="AD27" s="149"/>
    </row>
    <row r="28" spans="1:30" ht="15.75" customHeight="1" thickBot="1" x14ac:dyDescent="0.25">
      <c r="A28" s="634">
        <v>46160</v>
      </c>
      <c r="B28" s="631"/>
      <c r="C28" s="631"/>
      <c r="D28" s="631"/>
      <c r="E28" s="631"/>
      <c r="F28" s="631"/>
      <c r="G28" s="631"/>
      <c r="H28" s="631"/>
      <c r="I28" s="631"/>
      <c r="J28" s="632">
        <v>0</v>
      </c>
      <c r="K28" s="632">
        <f>IF((D28-C28)&lt;=$F$2,0,(D28-C28)-$F$2)</f>
        <v>0</v>
      </c>
      <c r="L28" s="633">
        <f>(I28-B28)-K28-(H28-G28)-J28</f>
        <v>0</v>
      </c>
      <c r="M28" s="405" t="s">
        <v>45</v>
      </c>
      <c r="N28" s="211"/>
      <c r="O28" s="212"/>
      <c r="P28" s="428">
        <f>MROUND(L28,"0:15")</f>
        <v>0</v>
      </c>
      <c r="Q28" s="98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1</v>
      </c>
      <c r="R28" s="98"/>
      <c r="S28" s="99"/>
      <c r="T28" s="436">
        <f>T25-L28</f>
        <v>1.3333333333333333</v>
      </c>
      <c r="U28" s="100"/>
      <c r="V28" s="205">
        <v>0.30208333333333331</v>
      </c>
      <c r="W28" s="280">
        <v>45278</v>
      </c>
      <c r="X28" s="682"/>
      <c r="Y28" s="344">
        <f>IF(M28="O",P28 - AA28,"0:00:00")</f>
        <v>0</v>
      </c>
      <c r="Z28" s="344" t="str">
        <f>IF(M28="C",P28,"0:00:00")</f>
        <v>0:00:00</v>
      </c>
      <c r="AA28" s="531" t="str">
        <f>IF(P28="M",Q28-P28,"0:00:00")</f>
        <v>0:00:00</v>
      </c>
      <c r="AB28" s="157">
        <f>SUM(Y28:Z28)</f>
        <v>0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634">
        <v>46161</v>
      </c>
      <c r="B29" s="631"/>
      <c r="C29" s="631"/>
      <c r="D29" s="631"/>
      <c r="E29" s="631"/>
      <c r="F29" s="631"/>
      <c r="G29" s="631"/>
      <c r="H29" s="631"/>
      <c r="I29" s="631"/>
      <c r="J29" s="632">
        <v>0</v>
      </c>
      <c r="K29" s="632">
        <f>IF((D29-C29)&lt;=$F$2,0,(D29-C29)-$F$2)</f>
        <v>0</v>
      </c>
      <c r="L29" s="633">
        <f t="shared" ref="L29:L32" si="0">(I29-B29)-K29-(H29-G29)-J29</f>
        <v>0</v>
      </c>
      <c r="M29" s="405" t="s">
        <v>53</v>
      </c>
      <c r="N29" s="211"/>
      <c r="O29" s="212"/>
      <c r="P29" s="428">
        <f>MROUND(L29,"0:15")</f>
        <v>0</v>
      </c>
      <c r="Q29" s="95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1</v>
      </c>
      <c r="R29" s="95"/>
      <c r="S29" s="96"/>
      <c r="T29" s="422">
        <f>T28-L29</f>
        <v>1.3333333333333333</v>
      </c>
      <c r="U29" s="97"/>
      <c r="V29" s="206">
        <v>0</v>
      </c>
      <c r="W29" s="280">
        <v>45279</v>
      </c>
      <c r="X29" s="682"/>
      <c r="Y29" s="140" t="str">
        <f>IF(M29="O",P29 - AA29,"0:00:00")</f>
        <v>0:00:00</v>
      </c>
      <c r="Z29" s="140">
        <f>IF(M29="C",P29,"0:00:00")</f>
        <v>0</v>
      </c>
      <c r="AA29" s="504" t="str">
        <f>IF(P29="M",Q29-P29,"0:00:00")</f>
        <v>0:00:00</v>
      </c>
      <c r="AB29" s="158">
        <f>SUM(Y29:Z29)</f>
        <v>0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634">
        <v>46162</v>
      </c>
      <c r="B30" s="631"/>
      <c r="C30" s="631"/>
      <c r="D30" s="631"/>
      <c r="E30" s="631"/>
      <c r="F30" s="631"/>
      <c r="G30" s="631"/>
      <c r="H30" s="631"/>
      <c r="I30" s="631"/>
      <c r="J30" s="632">
        <v>0</v>
      </c>
      <c r="K30" s="632">
        <f>IF((D30-C30)&lt;=$F$2,0,(D30-C30)-$F$2)</f>
        <v>0</v>
      </c>
      <c r="L30" s="633">
        <f t="shared" si="0"/>
        <v>0</v>
      </c>
      <c r="M30" s="405" t="s">
        <v>45</v>
      </c>
      <c r="N30" s="211"/>
      <c r="O30" s="212"/>
      <c r="P30" s="428">
        <f>MROUND(L30,"0:15")</f>
        <v>0</v>
      </c>
      <c r="Q30" s="95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1</v>
      </c>
      <c r="R30" s="95"/>
      <c r="S30" s="96"/>
      <c r="T30" s="422">
        <f>T29-L30</f>
        <v>1.3333333333333333</v>
      </c>
      <c r="U30" s="97"/>
      <c r="V30" s="206">
        <v>0.35416666666666669</v>
      </c>
      <c r="W30" s="280">
        <v>45280</v>
      </c>
      <c r="X30" s="682"/>
      <c r="Y30" s="140">
        <f>IF(M30="O",P30 - AA30,"0:00:00")</f>
        <v>0</v>
      </c>
      <c r="Z30" s="140" t="str">
        <f>IF(M30="C",P30,"0:00:00")</f>
        <v>0:00:00</v>
      </c>
      <c r="AA30" s="504" t="str">
        <f>IF(P30="M",Q30-P30,"0:00:00")</f>
        <v>0:00:00</v>
      </c>
      <c r="AB30" s="158">
        <f>SUM(Y30:Z30)</f>
        <v>0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634">
        <v>46163</v>
      </c>
      <c r="B31" s="631"/>
      <c r="C31" s="631"/>
      <c r="D31" s="631"/>
      <c r="E31" s="631"/>
      <c r="F31" s="631"/>
      <c r="G31" s="631"/>
      <c r="H31" s="631"/>
      <c r="I31" s="631"/>
      <c r="J31" s="632">
        <v>0</v>
      </c>
      <c r="K31" s="632">
        <f>IF((D31-C31)&lt;=$F$2,0,(D31-C31)-$F$2)</f>
        <v>0</v>
      </c>
      <c r="L31" s="633">
        <f t="shared" si="0"/>
        <v>0</v>
      </c>
      <c r="M31" s="405" t="s">
        <v>45</v>
      </c>
      <c r="N31" s="211"/>
      <c r="O31" s="212"/>
      <c r="P31" s="428">
        <f>MROUND(L31,"0:15")</f>
        <v>0</v>
      </c>
      <c r="Q31" s="95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1</v>
      </c>
      <c r="R31" s="95"/>
      <c r="S31" s="96"/>
      <c r="T31" s="422">
        <f>T30-L31</f>
        <v>1.3333333333333333</v>
      </c>
      <c r="U31" s="97"/>
      <c r="V31" s="206">
        <v>0.41666666666666669</v>
      </c>
      <c r="W31" s="280">
        <v>45281</v>
      </c>
      <c r="X31" s="682"/>
      <c r="Y31" s="140">
        <f>IF(M31="O",P31 - AA31,"0:00:00")</f>
        <v>0</v>
      </c>
      <c r="Z31" s="140" t="str">
        <f>IF(M31="C",P31,"0:00:00")</f>
        <v>0:00:00</v>
      </c>
      <c r="AA31" s="504" t="str">
        <f>IF(P31="M",Q31-P31,"0:00:00")</f>
        <v>0:00:00</v>
      </c>
      <c r="AB31" s="158">
        <f>SUM(Y31:Z31)</f>
        <v>0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634">
        <v>46164</v>
      </c>
      <c r="B32" s="631"/>
      <c r="C32" s="631"/>
      <c r="D32" s="631"/>
      <c r="E32" s="631"/>
      <c r="F32" s="631"/>
      <c r="G32" s="631"/>
      <c r="H32" s="631"/>
      <c r="I32" s="631"/>
      <c r="J32" s="632">
        <v>0</v>
      </c>
      <c r="K32" s="632">
        <f>IF((D32-C32)&lt;=$F$2,0,(D32-C32)-$F$2)</f>
        <v>0</v>
      </c>
      <c r="L32" s="633">
        <f t="shared" si="0"/>
        <v>0</v>
      </c>
      <c r="M32" s="405" t="s">
        <v>53</v>
      </c>
      <c r="N32" s="211"/>
      <c r="O32" s="212"/>
      <c r="P32" s="428">
        <f>MROUND(L32,"0:15")</f>
        <v>0</v>
      </c>
      <c r="Q32" s="95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1</v>
      </c>
      <c r="R32" s="95"/>
      <c r="S32" s="96"/>
      <c r="T32" s="422">
        <f>T31-L32</f>
        <v>1.3333333333333333</v>
      </c>
      <c r="U32" s="111"/>
      <c r="V32" s="78">
        <v>0.35416666666666669</v>
      </c>
      <c r="W32" s="280">
        <v>45282</v>
      </c>
      <c r="X32" s="682"/>
      <c r="Y32" s="152" t="str">
        <f>IF(M32="O",P32 - AA32,"0:00:00")</f>
        <v>0:00:00</v>
      </c>
      <c r="Z32" s="502">
        <f>IF(M32="C",P32,"0:00:00")</f>
        <v>0</v>
      </c>
      <c r="AA32" s="143" t="str">
        <f>IF(P32="M",Q32-P32,"0:00:00")</f>
        <v>0:00:00</v>
      </c>
      <c r="AB32" s="159">
        <f>SUM(Y32:Z32)</f>
        <v>0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0</v>
      </c>
      <c r="M33" s="396"/>
      <c r="N33" s="128"/>
      <c r="O33" s="129"/>
      <c r="P33" s="706">
        <f>SUM(P28:P32)</f>
        <v>0</v>
      </c>
      <c r="Q33" s="707"/>
      <c r="R33" s="707"/>
      <c r="S33" s="707"/>
      <c r="T33" s="708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395"/>
      <c r="N34" s="130"/>
      <c r="O34" s="131"/>
      <c r="P34" s="426"/>
      <c r="Q34" s="57">
        <f>Q32</f>
        <v>1</v>
      </c>
      <c r="R34" s="57"/>
      <c r="S34" s="58"/>
      <c r="T34" s="541"/>
      <c r="U34" s="374"/>
      <c r="V34" s="35"/>
      <c r="W34" s="82"/>
      <c r="X34" s="148"/>
      <c r="Y34" s="241"/>
      <c r="Z34" s="242"/>
      <c r="AA34" s="162"/>
      <c r="AB34" s="163"/>
      <c r="AC34" s="146"/>
      <c r="AD34" s="149"/>
    </row>
    <row r="35" spans="1:30" ht="12.75" customHeight="1" thickBot="1" x14ac:dyDescent="0.25">
      <c r="A35" s="630">
        <v>46167</v>
      </c>
      <c r="B35" s="631"/>
      <c r="C35" s="631"/>
      <c r="D35" s="631"/>
      <c r="E35" s="631"/>
      <c r="F35" s="631"/>
      <c r="G35" s="631"/>
      <c r="H35" s="631"/>
      <c r="I35" s="631"/>
      <c r="J35" s="632">
        <v>0</v>
      </c>
      <c r="K35" s="632">
        <v>0</v>
      </c>
      <c r="L35" s="633">
        <v>0</v>
      </c>
      <c r="M35" s="403" t="s">
        <v>45</v>
      </c>
      <c r="N35" s="211"/>
      <c r="O35" s="212"/>
      <c r="P35" s="428">
        <f>MROUND(L35,"0:15")</f>
        <v>0</v>
      </c>
      <c r="Q35" s="98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1</v>
      </c>
      <c r="R35" s="98"/>
      <c r="S35" s="99"/>
      <c r="T35" s="436">
        <f>T32-L35</f>
        <v>1.3333333333333333</v>
      </c>
      <c r="U35" s="100"/>
      <c r="V35" s="151">
        <v>0.33333333333333331</v>
      </c>
      <c r="W35" s="280">
        <v>45285</v>
      </c>
      <c r="X35" s="682"/>
      <c r="Y35" s="344">
        <f>IF(M35="O",P35 - AA35,"0:00:00")</f>
        <v>0</v>
      </c>
      <c r="Z35" s="344" t="str">
        <f t="shared" ref="Z35:Z39" si="1">IF(M35="C",P35,"0:00:00")</f>
        <v>0:00:00</v>
      </c>
      <c r="AA35" s="531" t="str">
        <f>IF(P35="M",Q35-P35,"0:00:00")</f>
        <v>0:00:00</v>
      </c>
      <c r="AB35" s="157">
        <f>SUM(Y35:Z35)</f>
        <v>0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267">
        <v>46168</v>
      </c>
      <c r="B36" s="309">
        <v>0.30902777777777779</v>
      </c>
      <c r="C36" s="309">
        <v>0.52986111111111112</v>
      </c>
      <c r="D36" s="309">
        <v>0.54305555555555551</v>
      </c>
      <c r="E36" s="309">
        <v>0.62638888888888888</v>
      </c>
      <c r="F36" s="309">
        <v>0.64722222222222225</v>
      </c>
      <c r="G36" s="309"/>
      <c r="H36" s="309"/>
      <c r="I36" s="309">
        <v>0.74930555555555556</v>
      </c>
      <c r="J36" s="265">
        <v>2.0833333333333329E-2</v>
      </c>
      <c r="K36" s="265">
        <v>0</v>
      </c>
      <c r="L36" s="319">
        <f t="shared" ref="L36:L39" si="2">(I36-B36)-K36-(H36-G36)-J36</f>
        <v>0.41944444444444445</v>
      </c>
      <c r="M36" s="405" t="s">
        <v>53</v>
      </c>
      <c r="N36" s="211"/>
      <c r="O36" s="212"/>
      <c r="P36" s="428">
        <f>TIME(MID(TEXT(L36,"hh:mm:ss"),1,2), IF(ABS((MID(TEXT(L36,"hh:mm:ss"),4,2)+Q35)-FLOOR((MID(TEXT(L36,"hh:mm:ss"),4,2)+Q35),15))&gt;=ABS((MID(TEXT(L36,"hh:mm:ss"),4,2)+Q35)-CEILING((MID(TEXT(L36,"hh:mm:ss"),4,2)+Q35),15)),CEILING((MID(TEXT(L36,"hh:mm:ss"),4,2)+Q35),15),FLOOR((MID(TEXT(L36,"hh:mm:ss"),4,2)+Q35),15)), MID(TEXT(L36,"hh:mm:ss"),7,2))</f>
        <v>0.41666666666666669</v>
      </c>
      <c r="Q36" s="95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5</v>
      </c>
      <c r="R36" s="95"/>
      <c r="S36" s="96"/>
      <c r="T36" s="422">
        <f>T35-L36</f>
        <v>0.91388888888888875</v>
      </c>
      <c r="U36" s="97"/>
      <c r="V36" s="77">
        <v>0.45833333333333331</v>
      </c>
      <c r="W36" s="280">
        <v>45286</v>
      </c>
      <c r="X36" s="682"/>
      <c r="Y36" s="140" t="str">
        <f>IF(M36="O",P36 - AA36,"0:00:00")</f>
        <v>0:00:00</v>
      </c>
      <c r="Z36" s="140">
        <f t="shared" si="1"/>
        <v>0.41666666666666669</v>
      </c>
      <c r="AA36" s="504" t="str">
        <f>IF(P36="M",Q36-P36,"0:00:00")</f>
        <v>0:00:00</v>
      </c>
      <c r="AB36" s="158">
        <f>SUM(Y36:Z36)</f>
        <v>0.41666666666666669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267">
        <v>46169</v>
      </c>
      <c r="B37" s="309">
        <v>0.3034722222222222</v>
      </c>
      <c r="C37" s="309">
        <v>0.49236111111111108</v>
      </c>
      <c r="D37" s="309">
        <v>0.50624999999999998</v>
      </c>
      <c r="E37" s="266"/>
      <c r="F37" s="266"/>
      <c r="G37" s="266"/>
      <c r="H37" s="266"/>
      <c r="I37" s="309">
        <v>0.62638888888888888</v>
      </c>
      <c r="J37" s="265">
        <v>0</v>
      </c>
      <c r="K37" s="265">
        <v>0</v>
      </c>
      <c r="L37" s="319">
        <f t="shared" si="2"/>
        <v>0.32291666666666669</v>
      </c>
      <c r="M37" s="405" t="s">
        <v>45</v>
      </c>
      <c r="N37" s="211"/>
      <c r="O37" s="212"/>
      <c r="P37" s="428">
        <f>TIME(MID(TEXT(L37,"hh:mm:ss"),1,2), IF(ABS((MID(TEXT(L37,"hh:mm:ss"),4,2)+Q36)-FLOOR((MID(TEXT(L37,"hh:mm:ss"),4,2)+Q36),15))&gt;=ABS((MID(TEXT(L37,"hh:mm:ss"),4,2)+Q36)-CEILING((MID(TEXT(L37,"hh:mm:ss"),4,2)+Q36),15)),CEILING((MID(TEXT(L37,"hh:mm:ss"),4,2)+Q36),15),FLOOR((MID(TEXT(L37,"hh:mm:ss"),4,2)+Q36),15)), MID(TEXT(L37,"hh:mm:ss"),7,2))</f>
        <v>0.32291666666666669</v>
      </c>
      <c r="Q37" s="95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5</v>
      </c>
      <c r="R37" s="95"/>
      <c r="S37" s="96"/>
      <c r="T37" s="422">
        <f>T36-L37</f>
        <v>0.59097222222222201</v>
      </c>
      <c r="U37" s="97"/>
      <c r="V37" s="77">
        <v>0.33333333333333331</v>
      </c>
      <c r="W37" s="280">
        <v>45287</v>
      </c>
      <c r="X37" s="682"/>
      <c r="Y37" s="140">
        <f>IF(M37="O",P37 - AA37,"0:00:00")</f>
        <v>0.32291666666666669</v>
      </c>
      <c r="Z37" s="140" t="str">
        <f t="shared" si="1"/>
        <v>0:00:00</v>
      </c>
      <c r="AA37" s="504" t="str">
        <f>IF(P37="M",Q37-P37,"0:00:00")</f>
        <v>0:00:00</v>
      </c>
      <c r="AB37" s="158">
        <f>SUM(Y37:Z37)</f>
        <v>0.32291666666666669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267">
        <v>46170</v>
      </c>
      <c r="B38" s="309">
        <v>0.33333333333333331</v>
      </c>
      <c r="C38" s="266"/>
      <c r="D38" s="266"/>
      <c r="E38" s="266"/>
      <c r="F38" s="266"/>
      <c r="G38" s="266"/>
      <c r="H38" s="266"/>
      <c r="I38" s="309">
        <v>0.66666666666666663</v>
      </c>
      <c r="J38" s="265">
        <v>0</v>
      </c>
      <c r="K38" s="265">
        <v>0</v>
      </c>
      <c r="L38" s="319">
        <f t="shared" si="2"/>
        <v>0.33333333333333331</v>
      </c>
      <c r="M38" s="405" t="s">
        <v>53</v>
      </c>
      <c r="N38" s="213"/>
      <c r="O38" s="214"/>
      <c r="P38" s="428">
        <f>TIME(MID(TEXT(L38,"hh:mm:ss"),1,2), IF(ABS((MID(TEXT(L38,"hh:mm:ss"),4,2)+Q37)-FLOOR((MID(TEXT(L38,"hh:mm:ss"),4,2)+Q37),15))&gt;=ABS((MID(TEXT(L38,"hh:mm:ss"),4,2)+Q37)-CEILING((MID(TEXT(L38,"hh:mm:ss"),4,2)+Q37),15)),CEILING((MID(TEXT(L38,"hh:mm:ss"),4,2)+Q37),15),FLOOR((MID(TEXT(L38,"hh:mm:ss"),4,2)+Q37),15)), MID(TEXT(L38,"hh:mm:ss"),7,2))</f>
        <v>0.33333333333333331</v>
      </c>
      <c r="Q38" s="101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5</v>
      </c>
      <c r="R38" s="101"/>
      <c r="S38" s="102"/>
      <c r="T38" s="442">
        <f>T37-L38</f>
        <v>0.2576388888888887</v>
      </c>
      <c r="U38" s="97"/>
      <c r="V38" s="77">
        <v>0.45833333333333331</v>
      </c>
      <c r="W38" s="280">
        <v>45288</v>
      </c>
      <c r="X38" s="682"/>
      <c r="Y38" s="140" t="str">
        <f>IF(M38="O",P38 - AA38,"0:00:00")</f>
        <v>0:00:00</v>
      </c>
      <c r="Z38" s="140">
        <f t="shared" si="1"/>
        <v>0.33333333333333331</v>
      </c>
      <c r="AA38" s="504" t="str">
        <f>IF(P38="M",Q38-P38,"0:00:00")</f>
        <v>0:00:00</v>
      </c>
      <c r="AB38" s="158">
        <f>SUM(Y38:Z38)</f>
        <v>0.33333333333333331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267">
        <v>46171</v>
      </c>
      <c r="B39" s="309">
        <v>0.33263888888888887</v>
      </c>
      <c r="C39" s="309">
        <v>0.50624999999999998</v>
      </c>
      <c r="D39" s="309">
        <v>0.52013888888888882</v>
      </c>
      <c r="E39" s="266"/>
      <c r="F39" s="266"/>
      <c r="G39" s="266"/>
      <c r="H39" s="266"/>
      <c r="I39" s="309">
        <v>0.65277777777777779</v>
      </c>
      <c r="J39" s="265">
        <v>0</v>
      </c>
      <c r="K39" s="265">
        <v>6.2450045135165055E-17</v>
      </c>
      <c r="L39" s="319">
        <f t="shared" si="2"/>
        <v>0.32013888888888886</v>
      </c>
      <c r="M39" s="404" t="s">
        <v>53</v>
      </c>
      <c r="N39" s="211"/>
      <c r="O39" s="212"/>
      <c r="P39" s="428">
        <f>TIME(MID(TEXT(L39,"hh:mm:ss"),1,2), IF(ABS((MID(TEXT(L39,"hh:mm:ss"),4,2)+Q38)-FLOOR((MID(TEXT(L39,"hh:mm:ss"),4,2)+Q38),15))&gt;=ABS((MID(TEXT(L39,"hh:mm:ss"),4,2)+Q38)-CEILING((MID(TEXT(L39,"hh:mm:ss"),4,2)+Q38),15)),CEILING((MID(TEXT(L39,"hh:mm:ss"),4,2)+Q38),15),FLOOR((MID(TEXT(L39,"hh:mm:ss"),4,2)+Q38),15)), MID(TEXT(L39,"hh:mm:ss"),7,2))</f>
        <v>0.32291666666666669</v>
      </c>
      <c r="Q39" s="92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92"/>
      <c r="S39" s="93"/>
      <c r="T39" s="443">
        <f>T38-L39</f>
        <v>-6.2500000000000167E-2</v>
      </c>
      <c r="U39" s="94"/>
      <c r="V39" s="78"/>
      <c r="W39" s="280">
        <v>45289</v>
      </c>
      <c r="X39" s="709"/>
      <c r="Y39" s="343" t="str">
        <f>IF(M39="O",P39 - AA39,"0:00:00")</f>
        <v>0:00:00</v>
      </c>
      <c r="Z39" s="344">
        <f t="shared" si="1"/>
        <v>0.32291666666666669</v>
      </c>
      <c r="AA39" s="152" t="str">
        <f>IF(P39="M",Q39-P39,"0:00:00")</f>
        <v>0:00:00</v>
      </c>
      <c r="AB39" s="164">
        <f>SUM(Y39:Z39)</f>
        <v>0.32291666666666669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391">
        <f>SUM(L35:L39)</f>
        <v>1.3958333333333335</v>
      </c>
      <c r="M40" s="406"/>
      <c r="N40" s="132"/>
      <c r="O40" s="133"/>
      <c r="P40" s="450">
        <f>SUM(P35:P39)</f>
        <v>1.3958333333333335</v>
      </c>
      <c r="Q40" s="63"/>
      <c r="R40" s="63"/>
      <c r="S40" s="63"/>
      <c r="T40" s="63"/>
      <c r="U40" s="387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284"/>
      <c r="B42" s="285"/>
      <c r="C42" s="285"/>
      <c r="D42" s="285"/>
      <c r="E42" s="285"/>
      <c r="F42" s="285"/>
      <c r="G42" s="285"/>
      <c r="H42" s="285"/>
      <c r="I42" s="285"/>
      <c r="J42" s="286"/>
      <c r="K42" s="286"/>
      <c r="L42" s="287"/>
      <c r="M42" s="67"/>
      <c r="N42" s="67"/>
      <c r="O42" s="67"/>
      <c r="X42" s="148"/>
      <c r="Y42" s="168">
        <f>SUM(Y7:Y11,Y14:Y18,Y21:Y25,Y28:Y32,Y35:Y39)</f>
        <v>0.32291666666666669</v>
      </c>
      <c r="Z42" s="169">
        <f>SUM(Z7:Z11,Z14:Z18,Z21:Z25,Z28:Z32,Z35:Z39)</f>
        <v>1.0729166666666667</v>
      </c>
      <c r="AA42" s="169">
        <f>SUM(AA7:AA11,AA14:AA18,AA21:AA25,AA28:AA32,AA35:AA39)</f>
        <v>0</v>
      </c>
      <c r="AB42" s="170">
        <f>SUM(AB7:AB11,AB14:AB18,AB21:AB25,AB28:AB32,AB35:AB39)</f>
        <v>1.3958333333333335</v>
      </c>
      <c r="AC42" s="109"/>
      <c r="AD42" s="154"/>
    </row>
    <row r="43" spans="1:30" ht="13.5" thickBot="1" x14ac:dyDescent="0.25">
      <c r="A43" s="288" t="s">
        <v>24</v>
      </c>
      <c r="B43" s="289"/>
      <c r="C43" s="289"/>
      <c r="D43" s="289"/>
      <c r="E43" s="289"/>
      <c r="F43" s="289"/>
      <c r="G43" s="289"/>
      <c r="H43" s="289"/>
      <c r="I43" s="289"/>
      <c r="J43" s="290"/>
      <c r="K43" s="290"/>
      <c r="L43" s="291">
        <f>SUM(L33,L26,L19,L12,L40)</f>
        <v>1.3958333333333335</v>
      </c>
      <c r="M43" s="185"/>
      <c r="N43" s="185"/>
      <c r="O43" s="185"/>
      <c r="P43" s="83">
        <f>SUM(P12,P19,P26,P33,P40)</f>
        <v>1.3958333333333335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0.23134328358208955</v>
      </c>
      <c r="Z44" s="155">
        <f>Z42/C47</f>
        <v>0.76865671641791045</v>
      </c>
      <c r="AA44" s="156">
        <f>AA42/C47</f>
        <v>0</v>
      </c>
      <c r="AB44" s="180">
        <f>SUM(Y44:AA44)</f>
        <v>1</v>
      </c>
    </row>
    <row r="45" spans="1:30" ht="18.75" thickBot="1" x14ac:dyDescent="0.25">
      <c r="A45" s="292"/>
      <c r="B45" s="293"/>
      <c r="C45" s="293"/>
      <c r="D45" s="293"/>
      <c r="E45" s="293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18" t="s">
        <v>25</v>
      </c>
      <c r="B46" s="719"/>
      <c r="C46" s="294">
        <f>J1*J2</f>
        <v>1.3333333333333333</v>
      </c>
      <c r="D46" s="294"/>
      <c r="E46" s="294"/>
      <c r="F46" s="295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96"/>
      <c r="B47" s="626" t="s">
        <v>26</v>
      </c>
      <c r="C47" s="298">
        <f>L43</f>
        <v>1.3958333333333335</v>
      </c>
      <c r="D47" s="298"/>
      <c r="E47" s="298"/>
      <c r="F47" s="299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96"/>
      <c r="B48" s="626" t="s">
        <v>27</v>
      </c>
      <c r="C48" s="294" t="str">
        <f>IF(C46&gt;C47,C46-C47,"00:00:00")</f>
        <v>00:00:00</v>
      </c>
      <c r="D48" s="298"/>
      <c r="E48" s="298"/>
      <c r="F48" s="300"/>
      <c r="K48" s="35"/>
      <c r="P48" s="215"/>
      <c r="Q48" s="216"/>
      <c r="R48" s="216"/>
      <c r="S48" s="216"/>
      <c r="T48" s="627"/>
      <c r="U48" s="216"/>
    </row>
    <row r="49" spans="1:30" ht="13.5" thickBot="1" x14ac:dyDescent="0.25">
      <c r="A49" s="296"/>
      <c r="B49" s="626" t="s">
        <v>28</v>
      </c>
      <c r="C49" s="294">
        <f>IF(C47&gt;C46,C47-C46,"00:00:00")</f>
        <v>6.2500000000000222E-2</v>
      </c>
      <c r="D49" s="301"/>
      <c r="E49" s="302" t="s">
        <v>29</v>
      </c>
      <c r="F49" s="295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292"/>
      <c r="B50" s="293"/>
      <c r="C50" s="293"/>
      <c r="D50" s="293"/>
      <c r="E50" s="293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96"/>
      <c r="B51" s="626" t="s">
        <v>30</v>
      </c>
      <c r="C51" s="68">
        <v>0</v>
      </c>
      <c r="D51" s="294"/>
      <c r="E51" s="303" t="s">
        <v>31</v>
      </c>
      <c r="F51" s="304" t="str">
        <f>IF(C51&gt;C52,C51-C52,"00:00:00")</f>
        <v>00:00:00</v>
      </c>
    </row>
    <row r="52" spans="1:30" ht="13.5" thickBot="1" x14ac:dyDescent="0.25">
      <c r="A52" s="296"/>
      <c r="B52" s="626" t="s">
        <v>32</v>
      </c>
      <c r="C52" s="68">
        <v>0</v>
      </c>
      <c r="D52" s="294"/>
      <c r="E52" s="303" t="s">
        <v>33</v>
      </c>
      <c r="F52" s="304" t="str">
        <f>IF(C52&gt;C51,C52-C51,"00:00:00")</f>
        <v>00:00:00</v>
      </c>
    </row>
    <row r="53" spans="1:30" ht="13.5" thickBot="1" x14ac:dyDescent="0.25">
      <c r="A53" s="712" t="s">
        <v>34</v>
      </c>
      <c r="B53" s="713"/>
      <c r="C53" s="305">
        <f>Horas!B3-'Mayo 26'!J1</f>
        <v>0</v>
      </c>
      <c r="D53" s="714" t="s">
        <v>35</v>
      </c>
      <c r="E53" s="714"/>
      <c r="F53" s="306">
        <v>0</v>
      </c>
      <c r="P53" s="66"/>
      <c r="Q53" s="2"/>
      <c r="R53" s="2"/>
    </row>
    <row r="54" spans="1:30" ht="13.5" thickBot="1" x14ac:dyDescent="0.25">
      <c r="A54" s="715" t="s">
        <v>36</v>
      </c>
      <c r="B54" s="716"/>
      <c r="C54" s="307">
        <v>0</v>
      </c>
      <c r="D54" s="717" t="s">
        <v>37</v>
      </c>
      <c r="E54" s="717"/>
      <c r="F54" s="308">
        <v>0</v>
      </c>
      <c r="P54" s="66"/>
      <c r="Q54" s="2"/>
      <c r="R54" s="2"/>
    </row>
    <row r="55" spans="1:30" ht="13.5" thickBot="1" x14ac:dyDescent="0.25">
      <c r="A55" s="292"/>
      <c r="B55" s="293"/>
      <c r="C55" s="293"/>
      <c r="D55" s="293"/>
      <c r="E55" s="293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A54:B54"/>
    <mergeCell ref="D54:E54"/>
    <mergeCell ref="A46:B46"/>
    <mergeCell ref="Q46:Q47"/>
    <mergeCell ref="R46:R47"/>
    <mergeCell ref="S46:S47"/>
    <mergeCell ref="T46:T47"/>
    <mergeCell ref="A53:B53"/>
    <mergeCell ref="D53:E53"/>
    <mergeCell ref="P19:T19"/>
    <mergeCell ref="X21:X25"/>
    <mergeCell ref="P26:T26"/>
    <mergeCell ref="X28:X32"/>
    <mergeCell ref="P33:T33"/>
    <mergeCell ref="X35:X39"/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</mergeCells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8"/>
  <dimension ref="A1:AE59"/>
  <sheetViews>
    <sheetView topLeftCell="A13" zoomScaleNormal="100" workbookViewId="0">
      <selection activeCell="F38" sqref="F38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4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268" t="s">
        <v>0</v>
      </c>
      <c r="B1" s="683" t="s">
        <v>38</v>
      </c>
      <c r="C1" s="684"/>
      <c r="D1" s="685"/>
      <c r="E1" s="269" t="s">
        <v>1</v>
      </c>
      <c r="F1" s="270">
        <v>2.0833333333333329E-2</v>
      </c>
      <c r="I1" s="6" t="s">
        <v>2</v>
      </c>
      <c r="J1" s="271">
        <v>10</v>
      </c>
      <c r="K1" s="13" t="s">
        <v>2</v>
      </c>
      <c r="L1" s="617">
        <v>12</v>
      </c>
      <c r="M1" s="612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272" t="s">
        <v>3</v>
      </c>
      <c r="B2" s="690"/>
      <c r="C2" s="691"/>
      <c r="D2" s="692"/>
      <c r="E2" s="273" t="s">
        <v>4</v>
      </c>
      <c r="F2" s="274">
        <v>1.3888888888888888E-2</v>
      </c>
      <c r="I2" s="8" t="s">
        <v>5</v>
      </c>
      <c r="J2" s="275">
        <v>0.33333333333333331</v>
      </c>
      <c r="K2" s="611" t="s">
        <v>5</v>
      </c>
      <c r="L2" s="613">
        <v>0.29166666666666669</v>
      </c>
      <c r="M2" s="6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276" t="s">
        <v>6</v>
      </c>
      <c r="B3" s="693">
        <v>46174</v>
      </c>
      <c r="C3" s="694"/>
      <c r="D3" s="695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616"/>
      <c r="L4" s="407"/>
      <c r="M4" s="402"/>
      <c r="N4" s="696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277" t="s">
        <v>7</v>
      </c>
      <c r="B5" s="278" t="s">
        <v>8</v>
      </c>
      <c r="C5" s="278" t="s">
        <v>9</v>
      </c>
      <c r="D5" s="278" t="s">
        <v>10</v>
      </c>
      <c r="E5" s="278" t="s">
        <v>11</v>
      </c>
      <c r="F5" s="278" t="s">
        <v>12</v>
      </c>
      <c r="G5" s="278" t="s">
        <v>13</v>
      </c>
      <c r="H5" s="278" t="s">
        <v>14</v>
      </c>
      <c r="I5" s="278" t="s">
        <v>15</v>
      </c>
      <c r="J5" s="278" t="s">
        <v>16</v>
      </c>
      <c r="K5" s="615" t="s">
        <v>17</v>
      </c>
      <c r="L5" s="278" t="s">
        <v>18</v>
      </c>
      <c r="M5" s="554" t="s">
        <v>44</v>
      </c>
      <c r="N5" s="117" t="s">
        <v>12</v>
      </c>
      <c r="O5" s="118" t="s">
        <v>15</v>
      </c>
      <c r="T5" s="55">
        <f>C46</f>
        <v>6.833333333333333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222"/>
      <c r="B6" s="223"/>
      <c r="C6" s="223"/>
      <c r="D6" s="223"/>
      <c r="E6" s="223"/>
      <c r="F6" s="223"/>
      <c r="G6" s="223"/>
      <c r="H6" s="223"/>
      <c r="I6" s="223"/>
      <c r="J6" s="224"/>
      <c r="K6" s="224"/>
      <c r="L6" s="451"/>
      <c r="M6" s="395"/>
      <c r="N6" s="122"/>
      <c r="O6" s="123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261" t="s">
        <v>49</v>
      </c>
      <c r="AA6" s="261" t="s">
        <v>50</v>
      </c>
      <c r="AB6" s="262" t="s">
        <v>51</v>
      </c>
      <c r="AC6" s="104"/>
      <c r="AD6" s="186"/>
    </row>
    <row r="7" spans="1:31" ht="12.75" customHeight="1" thickBot="1" x14ac:dyDescent="0.25">
      <c r="A7" s="601">
        <v>46174</v>
      </c>
      <c r="B7" s="309">
        <v>0.30138888888888887</v>
      </c>
      <c r="C7" s="309">
        <v>0.48402777777777778</v>
      </c>
      <c r="D7" s="309">
        <v>0.49861111111111112</v>
      </c>
      <c r="E7" s="309"/>
      <c r="F7" s="309"/>
      <c r="G7" s="309"/>
      <c r="H7" s="309"/>
      <c r="I7" s="309">
        <v>0.62569444444444444</v>
      </c>
      <c r="J7" s="309">
        <v>0</v>
      </c>
      <c r="K7" s="265">
        <f>IF((D7-C7)&lt;=$F$2,0,(D7-C7)-$F$2)</f>
        <v>6.9444444444444892E-4</v>
      </c>
      <c r="L7" s="319">
        <f>(I7-B7)-K7-(H7-G7)-J7</f>
        <v>0.32361111111111113</v>
      </c>
      <c r="M7" s="403" t="s">
        <v>45</v>
      </c>
      <c r="N7" s="211"/>
      <c r="O7" s="212"/>
      <c r="P7" s="70">
        <f>MROUND(L7,"0:15")</f>
        <v>0.32291666666666663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2</v>
      </c>
      <c r="R7" s="71"/>
      <c r="S7" s="72"/>
      <c r="T7" s="73">
        <f>T5-L7</f>
        <v>6.509722222222222</v>
      </c>
      <c r="U7" s="74"/>
      <c r="V7" s="76">
        <v>0</v>
      </c>
      <c r="W7" s="280"/>
      <c r="X7" s="701"/>
      <c r="Y7" s="580">
        <f>IF(M7="O",P7 - AA7,"0:00:00")</f>
        <v>0.32291666666666663</v>
      </c>
      <c r="Z7" s="557" t="str">
        <f>IF(M7="C",P7,"0:00:00")</f>
        <v>0:00:00</v>
      </c>
      <c r="AA7" s="557" t="str">
        <f>IF(P7="M",Q7-P7,"0:00:00")</f>
        <v>0:00:00</v>
      </c>
      <c r="AB7" s="558">
        <f>SUM(Y7:Z7)</f>
        <v>0.32291666666666663</v>
      </c>
      <c r="AC7" s="139">
        <v>0</v>
      </c>
      <c r="AD7" s="188"/>
      <c r="AE7" s="256"/>
    </row>
    <row r="8" spans="1:31" ht="12.75" customHeight="1" thickBot="1" x14ac:dyDescent="0.25">
      <c r="A8" s="601">
        <v>46175</v>
      </c>
      <c r="B8" s="309">
        <v>0.32916666666666666</v>
      </c>
      <c r="C8" s="309">
        <v>0.51250000000000007</v>
      </c>
      <c r="D8" s="309">
        <v>0.52638888888888891</v>
      </c>
      <c r="E8" s="266"/>
      <c r="F8" s="266"/>
      <c r="G8" s="266"/>
      <c r="H8" s="266"/>
      <c r="I8" s="309">
        <v>0.66875000000000007</v>
      </c>
      <c r="J8" s="265">
        <v>0</v>
      </c>
      <c r="K8" s="265">
        <f t="shared" ref="K8:K11" si="0">IF((D8-C8)&lt;=$F$2,0,(D8-C8)-$F$2)</f>
        <v>0</v>
      </c>
      <c r="L8" s="319">
        <f t="shared" ref="L8:L10" si="1">(I8-B8)-K8-(H8-G8)-J8</f>
        <v>0.3395833333333334</v>
      </c>
      <c r="M8" s="405" t="s">
        <v>53</v>
      </c>
      <c r="N8" s="211"/>
      <c r="O8" s="212"/>
      <c r="P8" s="70">
        <f>MROUND(L8,"0:15")</f>
        <v>0.34375</v>
      </c>
      <c r="Q8" s="461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-4</v>
      </c>
      <c r="R8" s="461"/>
      <c r="S8" s="462"/>
      <c r="T8" s="463">
        <f>T7-L8</f>
        <v>6.1701388888888884</v>
      </c>
      <c r="U8" s="97"/>
      <c r="V8" s="77">
        <v>0</v>
      </c>
      <c r="W8" s="193"/>
      <c r="X8" s="689"/>
      <c r="Y8" s="580" t="str">
        <f>IF(M8="O",P8 - AA8,"0:00:00")</f>
        <v>0:00:00</v>
      </c>
      <c r="Z8" s="581">
        <f>IF(M8="C",P8,"0:00:00")</f>
        <v>0.34375</v>
      </c>
      <c r="AA8" s="562">
        <v>0</v>
      </c>
      <c r="AB8" s="563">
        <f>SUM(Y8:Z8)</f>
        <v>0.34375</v>
      </c>
      <c r="AC8" s="141">
        <v>0</v>
      </c>
      <c r="AD8" s="189"/>
    </row>
    <row r="9" spans="1:31" s="1" customFormat="1" ht="12.75" customHeight="1" thickBot="1" x14ac:dyDescent="0.25">
      <c r="A9" s="601">
        <v>46176</v>
      </c>
      <c r="B9" s="309">
        <v>0.30208333333333331</v>
      </c>
      <c r="C9" s="309">
        <v>0.47500000000000003</v>
      </c>
      <c r="D9" s="309">
        <v>0.48819444444444443</v>
      </c>
      <c r="E9" s="266"/>
      <c r="F9" s="266"/>
      <c r="G9" s="266"/>
      <c r="H9" s="266"/>
      <c r="I9" s="309">
        <v>0.60555555555555551</v>
      </c>
      <c r="J9" s="265">
        <v>0</v>
      </c>
      <c r="K9" s="265">
        <f t="shared" si="0"/>
        <v>0</v>
      </c>
      <c r="L9" s="319">
        <f t="shared" si="1"/>
        <v>0.3034722222222222</v>
      </c>
      <c r="M9" s="405" t="s">
        <v>45</v>
      </c>
      <c r="N9" s="211"/>
      <c r="O9" s="212"/>
      <c r="P9" s="70">
        <f>MROUND(L9,"0:15")</f>
        <v>0.30208333333333331</v>
      </c>
      <c r="Q9" s="46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-2</v>
      </c>
      <c r="R9" s="464"/>
      <c r="S9" s="465"/>
      <c r="T9" s="466">
        <f>T8-L9</f>
        <v>5.8666666666666663</v>
      </c>
      <c r="U9" s="564"/>
      <c r="V9" s="182">
        <v>0</v>
      </c>
      <c r="W9" s="281"/>
      <c r="X9" s="689"/>
      <c r="Y9" s="567">
        <f>IF(M9="O",P9 - AA9,"0:00:00")</f>
        <v>0.30208333333333331</v>
      </c>
      <c r="Z9" s="567" t="str">
        <f>IF(M9="C",P9,"0:00:00")</f>
        <v>0:00:00</v>
      </c>
      <c r="AA9" s="577" t="str">
        <f>IF(P9="M",Q9-P9,"0:00:00")</f>
        <v>0:00:00</v>
      </c>
      <c r="AB9" s="568">
        <f>SUM(Y9:Z9)</f>
        <v>0.30208333333333331</v>
      </c>
      <c r="AC9" s="195">
        <v>0</v>
      </c>
      <c r="AD9" s="196" t="b">
        <f>V9=AC9</f>
        <v>1</v>
      </c>
    </row>
    <row r="10" spans="1:31" ht="12.75" customHeight="1" thickBot="1" x14ac:dyDescent="0.25">
      <c r="A10" s="601">
        <v>46177</v>
      </c>
      <c r="B10" s="309">
        <v>0.31666666666666665</v>
      </c>
      <c r="C10" s="309">
        <v>0.51041666666666663</v>
      </c>
      <c r="D10" s="309">
        <v>0.52361111111111114</v>
      </c>
      <c r="E10" s="309">
        <v>0.64861111111111114</v>
      </c>
      <c r="F10" s="309">
        <v>0.6694444444444444</v>
      </c>
      <c r="G10" s="266"/>
      <c r="H10" s="266"/>
      <c r="I10" s="309">
        <v>0.71111111111111114</v>
      </c>
      <c r="J10" s="265">
        <f>IF((F10-E10)&lt;$F$1,$F$1,F10-E10)</f>
        <v>2.0833333333333259E-2</v>
      </c>
      <c r="K10" s="265">
        <f t="shared" si="0"/>
        <v>0</v>
      </c>
      <c r="L10" s="319">
        <f t="shared" si="1"/>
        <v>0.37361111111111123</v>
      </c>
      <c r="M10" s="405" t="s">
        <v>45</v>
      </c>
      <c r="N10" s="213"/>
      <c r="O10" s="214"/>
      <c r="P10" s="70">
        <f>MROUND(L10,"0:15")</f>
        <v>0.375</v>
      </c>
      <c r="Q10" s="46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-4</v>
      </c>
      <c r="R10" s="464"/>
      <c r="S10" s="465"/>
      <c r="T10" s="466">
        <f>T9-L10</f>
        <v>5.4930555555555554</v>
      </c>
      <c r="U10" s="564"/>
      <c r="V10" s="182">
        <v>0.45833333333333331</v>
      </c>
      <c r="W10" s="281"/>
      <c r="X10" s="689"/>
      <c r="Y10" s="562">
        <f>IF(M10="O",P10 - AA10,"0:00:00")</f>
        <v>0.375</v>
      </c>
      <c r="Z10" s="562" t="str">
        <f>IF(M10="C",P10,"0:00:00")</f>
        <v>0:00:00</v>
      </c>
      <c r="AA10" s="578" t="str">
        <f>IF(P10="M",Q10-P10,"0:00:00")</f>
        <v>0:00:00</v>
      </c>
      <c r="AB10" s="563">
        <f>SUM(Y10:Z10)</f>
        <v>0.375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601">
        <v>46178</v>
      </c>
      <c r="B11" s="309">
        <v>0.30138888888888887</v>
      </c>
      <c r="C11" s="266"/>
      <c r="D11" s="266"/>
      <c r="E11" s="266"/>
      <c r="F11" s="266"/>
      <c r="G11" s="266"/>
      <c r="H11" s="266"/>
      <c r="I11" s="309">
        <v>0.59722222222222221</v>
      </c>
      <c r="J11" s="265">
        <v>0</v>
      </c>
      <c r="K11" s="265">
        <f t="shared" si="0"/>
        <v>0</v>
      </c>
      <c r="L11" s="319">
        <f>(I11-B11)-K11-(H11-G11)-J11</f>
        <v>0.29583333333333334</v>
      </c>
      <c r="M11" s="543" t="s">
        <v>45</v>
      </c>
      <c r="N11" s="211"/>
      <c r="O11" s="212"/>
      <c r="P11" s="70">
        <f>MROUND(L11,"0:15")</f>
        <v>0.29166666666666663</v>
      </c>
      <c r="Q11" s="510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2</v>
      </c>
      <c r="R11" s="510"/>
      <c r="S11" s="511"/>
      <c r="T11" s="512">
        <f>T10-L11</f>
        <v>5.197222222222222</v>
      </c>
      <c r="U11" s="569"/>
      <c r="V11" s="182">
        <v>0.29166666666666669</v>
      </c>
      <c r="W11" s="281">
        <v>45261</v>
      </c>
      <c r="X11" s="702"/>
      <c r="Y11" s="152">
        <f>IF(M11="O",P11 - AA11,"0:00:00")</f>
        <v>0.29166666666666663</v>
      </c>
      <c r="Z11" s="152" t="str">
        <f>IF(M11="C",P11,"0:00:00")</f>
        <v>0:00:00</v>
      </c>
      <c r="AA11" s="505" t="str">
        <f>IF(P11="M",Q11-P11,"0:00:00")</f>
        <v>0:00:00</v>
      </c>
      <c r="AB11" s="159">
        <f>SUM(Y11:Z11)</f>
        <v>0.29166666666666663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1.6361111111111115</v>
      </c>
      <c r="M12" s="544"/>
      <c r="N12" s="122"/>
      <c r="O12" s="123"/>
      <c r="P12" s="720">
        <f>SUM(P7:P11)</f>
        <v>1.6354166666666665</v>
      </c>
      <c r="Q12" s="721"/>
      <c r="R12" s="721"/>
      <c r="S12" s="721"/>
      <c r="T12" s="722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545"/>
      <c r="N13" s="122"/>
      <c r="O13" s="123"/>
      <c r="P13" s="337"/>
      <c r="Q13" s="470">
        <f>Q11</f>
        <v>2</v>
      </c>
      <c r="R13" s="470"/>
      <c r="S13" s="471"/>
      <c r="T13" s="472"/>
      <c r="U13" s="374"/>
      <c r="V13" s="35"/>
      <c r="W13" s="69"/>
      <c r="X13" s="148"/>
      <c r="Y13" s="241"/>
      <c r="Z13" s="242"/>
      <c r="AA13" s="162"/>
      <c r="AB13" s="163"/>
      <c r="AC13" s="146"/>
      <c r="AD13" s="149"/>
    </row>
    <row r="14" spans="1:31" s="1" customFormat="1" ht="12" thickBot="1" x14ac:dyDescent="0.25">
      <c r="A14" s="267">
        <v>46181</v>
      </c>
      <c r="B14" s="309">
        <v>0.32847222222222222</v>
      </c>
      <c r="C14" s="309">
        <v>0.51736111111111105</v>
      </c>
      <c r="D14" s="309">
        <v>0.53125</v>
      </c>
      <c r="E14" s="266"/>
      <c r="F14" s="266"/>
      <c r="G14" s="266"/>
      <c r="H14" s="266"/>
      <c r="I14" s="309">
        <v>0.64652777777777781</v>
      </c>
      <c r="J14" s="265">
        <v>0</v>
      </c>
      <c r="K14" s="265">
        <f>IF((D14-C14)&lt;=$F$2,0,(D14-C14)-$F$2)</f>
        <v>6.2450045135165055E-17</v>
      </c>
      <c r="L14" s="319">
        <f>(I14-B14)-K14-(H14-G14)-J14</f>
        <v>0.31805555555555554</v>
      </c>
      <c r="M14" s="403" t="s">
        <v>45</v>
      </c>
      <c r="N14" s="211"/>
      <c r="O14" s="212"/>
      <c r="P14" s="70">
        <f>MROUND(L14,"0:15")</f>
        <v>0.32291666666666663</v>
      </c>
      <c r="Q14" s="473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-5</v>
      </c>
      <c r="R14" s="473"/>
      <c r="S14" s="474"/>
      <c r="T14" s="475">
        <f>T11-L14</f>
        <v>4.8791666666666664</v>
      </c>
      <c r="U14" s="571"/>
      <c r="V14" s="205">
        <v>0.30208333333333331</v>
      </c>
      <c r="W14" s="283">
        <v>45264</v>
      </c>
      <c r="X14" s="682"/>
      <c r="Y14" s="344">
        <f>IF(M14="O",P14 - AA14,"0:00:00")</f>
        <v>0.32291666666666663</v>
      </c>
      <c r="Z14" s="344" t="str">
        <f>IF(M14="C",P14,"0:00:00")</f>
        <v>0:00:00</v>
      </c>
      <c r="AA14" s="534" t="str">
        <f>IF(P14="M",Q14-P14,"0:00:00")</f>
        <v>0:00:00</v>
      </c>
      <c r="AB14" s="535">
        <f>SUM(Y14:Z14)</f>
        <v>0.32291666666666663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267">
        <v>46182</v>
      </c>
      <c r="B15" s="309">
        <v>0.32569444444444445</v>
      </c>
      <c r="C15" s="309">
        <v>0.54791666666666672</v>
      </c>
      <c r="D15" s="309">
        <v>0.56111111111111112</v>
      </c>
      <c r="E15" s="309">
        <v>0.66180555555555554</v>
      </c>
      <c r="F15" s="309">
        <v>0.67986111111111114</v>
      </c>
      <c r="G15" s="309"/>
      <c r="H15" s="309"/>
      <c r="I15" s="309">
        <v>0.73263888888888884</v>
      </c>
      <c r="J15" s="265">
        <f>IF((F15-E15)&lt;$F$1,$F$1,F15-E15)</f>
        <v>2.0833333333333329E-2</v>
      </c>
      <c r="K15" s="265">
        <f>IF((D15-C15)&lt;=$F$2,0,(D15-C15)-$F$2)</f>
        <v>0</v>
      </c>
      <c r="L15" s="319">
        <f>(I15-B15)-K15-(H15-G15)-J15</f>
        <v>0.38611111111111107</v>
      </c>
      <c r="M15" s="405" t="s">
        <v>45</v>
      </c>
      <c r="N15" s="211"/>
      <c r="O15" s="212"/>
      <c r="P15" s="70">
        <f>MROUND(L15,"0:15")</f>
        <v>0.38541666666666663</v>
      </c>
      <c r="Q15" s="46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-4</v>
      </c>
      <c r="R15" s="464"/>
      <c r="S15" s="465"/>
      <c r="T15" s="466">
        <f>T14-L15</f>
        <v>4.4930555555555554</v>
      </c>
      <c r="U15" s="564"/>
      <c r="V15" s="206">
        <v>0.25</v>
      </c>
      <c r="W15" s="283">
        <v>45265</v>
      </c>
      <c r="X15" s="682"/>
      <c r="Y15" s="140">
        <f>IF(M15="O",P15 - AA15,"0:00:00")</f>
        <v>0.38541666666666663</v>
      </c>
      <c r="Z15" s="140" t="str">
        <f>IF(M15="C",P15,"0:00:00")</f>
        <v>0:00:00</v>
      </c>
      <c r="AA15" s="140" t="str">
        <f>IF(P15="M",Q15-P15,"0:00:00")</f>
        <v>0:00:00</v>
      </c>
      <c r="AB15" s="140">
        <f>SUM(Y15:Z15)</f>
        <v>0.38541666666666663</v>
      </c>
      <c r="AC15" s="141">
        <v>0.25</v>
      </c>
      <c r="AD15" s="189" t="b">
        <f>V15=AC15</f>
        <v>1</v>
      </c>
    </row>
    <row r="16" spans="1:31" s="1" customFormat="1" ht="12.75" customHeight="1" thickBot="1" x14ac:dyDescent="0.25">
      <c r="A16" s="267">
        <v>46183</v>
      </c>
      <c r="B16" s="309">
        <v>0.30416666666666664</v>
      </c>
      <c r="C16" s="309">
        <v>0.49236111111111108</v>
      </c>
      <c r="D16" s="309">
        <v>0.51527777777777783</v>
      </c>
      <c r="E16" s="266"/>
      <c r="F16" s="266"/>
      <c r="G16" s="266"/>
      <c r="H16" s="266"/>
      <c r="I16" s="309">
        <v>0.59444444444444444</v>
      </c>
      <c r="J16" s="265">
        <v>0</v>
      </c>
      <c r="K16" s="265">
        <f>IF((D16-C16)&lt;=$F$2,0,(D16-C16)-$F$2)</f>
        <v>9.0277777777778637E-3</v>
      </c>
      <c r="L16" s="319">
        <f>(I16-B16)-K16-(H16-G16)-J16</f>
        <v>0.28124999999999994</v>
      </c>
      <c r="M16" s="405" t="s">
        <v>45</v>
      </c>
      <c r="N16" s="211"/>
      <c r="O16" s="212"/>
      <c r="P16" s="70">
        <f>MROUND(L16,"0:15")</f>
        <v>0.28125</v>
      </c>
      <c r="Q16" s="461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-4</v>
      </c>
      <c r="R16" s="461"/>
      <c r="S16" s="462"/>
      <c r="T16" s="476">
        <f>T15-P16</f>
        <v>4.2118055555555554</v>
      </c>
      <c r="U16" s="572"/>
      <c r="V16" s="206">
        <v>0.23958333333333334</v>
      </c>
      <c r="W16" s="283">
        <v>45266</v>
      </c>
      <c r="X16" s="682"/>
      <c r="Y16" s="140">
        <f>IF(M16="O",P16 - AA16,"0:00:00")</f>
        <v>0.28125</v>
      </c>
      <c r="Z16" s="140" t="str">
        <f>IF(M16="C",P16,"0:00:00")</f>
        <v>0:00:00</v>
      </c>
      <c r="AA16" s="140" t="str">
        <f>IF(P16="M",Q16-P16,"0:00:00")</f>
        <v>0:00:00</v>
      </c>
      <c r="AB16" s="140">
        <f>SUM(Y16:Z16)</f>
        <v>0.28125</v>
      </c>
      <c r="AC16" s="141">
        <v>0.23958333333333334</v>
      </c>
      <c r="AD16" s="189" t="b">
        <f>V16=AC16</f>
        <v>1</v>
      </c>
    </row>
    <row r="17" spans="1:30" ht="12.75" customHeight="1" thickBot="1" x14ac:dyDescent="0.25">
      <c r="A17" s="267">
        <v>46184</v>
      </c>
      <c r="B17" s="309">
        <v>0.31458333333333333</v>
      </c>
      <c r="C17" s="309">
        <v>0.50208333333333333</v>
      </c>
      <c r="D17" s="309">
        <v>0.51597222222222217</v>
      </c>
      <c r="E17" s="266"/>
      <c r="F17" s="266"/>
      <c r="G17" s="266"/>
      <c r="H17" s="266"/>
      <c r="I17" s="309">
        <v>0.64583333333333337</v>
      </c>
      <c r="J17" s="265">
        <v>0</v>
      </c>
      <c r="K17" s="265">
        <f>IF((D17-C17)&lt;=$F$2,0,(D17-C17)-$F$2)</f>
        <v>0</v>
      </c>
      <c r="L17" s="319">
        <f>(I17-B17)-K17-(H17-G17)-J17</f>
        <v>0.33125000000000004</v>
      </c>
      <c r="M17" s="405" t="s">
        <v>53</v>
      </c>
      <c r="N17" s="213"/>
      <c r="O17" s="214"/>
      <c r="P17" s="70">
        <f>MROUND(L17,"0:15")</f>
        <v>0.33333333333333331</v>
      </c>
      <c r="Q17" s="46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-7</v>
      </c>
      <c r="R17" s="464"/>
      <c r="S17" s="465"/>
      <c r="T17" s="477">
        <f>T16-P17</f>
        <v>3.8784722222222219</v>
      </c>
      <c r="U17" s="574"/>
      <c r="V17" s="206">
        <v>0</v>
      </c>
      <c r="W17" s="283">
        <v>45267</v>
      </c>
      <c r="X17" s="682"/>
      <c r="Y17" s="140" t="str">
        <f>IF(M17="O",P17 - AA17,"0:00:00")</f>
        <v>0:00:00</v>
      </c>
      <c r="Z17" s="140">
        <f>IF(M17="C",P17,"0:00:00")</f>
        <v>0.33333333333333331</v>
      </c>
      <c r="AA17" s="537" t="str">
        <f>IF(P17="M",Q17-P17,"0:00:00")</f>
        <v>0:00:00</v>
      </c>
      <c r="AB17" s="344">
        <f>SUM(Y17:Z17)</f>
        <v>0.33333333333333331</v>
      </c>
      <c r="AC17" s="195">
        <v>0</v>
      </c>
      <c r="AD17" s="196" t="b">
        <f>V17=AC17</f>
        <v>1</v>
      </c>
    </row>
    <row r="18" spans="1:30" ht="13.5" thickBot="1" x14ac:dyDescent="0.25">
      <c r="A18" s="267">
        <v>46185</v>
      </c>
      <c r="B18" s="309">
        <v>0.31041666666666667</v>
      </c>
      <c r="C18" s="309">
        <v>0.53472222222222221</v>
      </c>
      <c r="D18" s="309">
        <v>0.54861111111111105</v>
      </c>
      <c r="E18" s="266"/>
      <c r="F18" s="266"/>
      <c r="G18" s="266"/>
      <c r="H18" s="266"/>
      <c r="I18" s="309">
        <v>0.65833333333333333</v>
      </c>
      <c r="J18" s="265">
        <v>0</v>
      </c>
      <c r="K18" s="265">
        <f>IF((D18-C18)&lt;=$F$2,0,(D18-C18)-$F$2)</f>
        <v>0</v>
      </c>
      <c r="L18" s="319">
        <f>(I18-B18)-K18-(H18-G18)-J18</f>
        <v>0.34791666666666665</v>
      </c>
      <c r="M18" s="543" t="s">
        <v>53</v>
      </c>
      <c r="N18" s="211"/>
      <c r="O18" s="212"/>
      <c r="P18" s="70">
        <f>MROUND(L18,"0:15")</f>
        <v>0.34375</v>
      </c>
      <c r="Q18" s="478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-1</v>
      </c>
      <c r="R18" s="478"/>
      <c r="S18" s="479"/>
      <c r="T18" s="480">
        <f>T17-L18</f>
        <v>3.530555555555555</v>
      </c>
      <c r="U18" s="573"/>
      <c r="V18" s="207">
        <v>0</v>
      </c>
      <c r="W18" s="283">
        <v>45268</v>
      </c>
      <c r="X18" s="682"/>
      <c r="Y18" s="364" t="str">
        <f>IF(M18="O",P18 - AA18,"0:00:00")</f>
        <v>0:00:00</v>
      </c>
      <c r="Z18" s="365">
        <f>IF(M18="C",P18,"0:00:00")</f>
        <v>0.34375</v>
      </c>
      <c r="AA18" s="143" t="str">
        <f>IF(P18="M",Q18-P18,"0:00:00")</f>
        <v>0:00:00</v>
      </c>
      <c r="AB18" s="159">
        <f>SUM(Y18:Z18)</f>
        <v>0.34375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1.6645833333333333</v>
      </c>
      <c r="M19" s="544"/>
      <c r="N19" s="122"/>
      <c r="O19" s="123"/>
      <c r="P19" s="723">
        <f>SUM(P14:P18)</f>
        <v>1.6666666666666665</v>
      </c>
      <c r="Q19" s="724"/>
      <c r="R19" s="724"/>
      <c r="S19" s="724"/>
      <c r="T19" s="725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680"/>
      <c r="D20" s="680"/>
      <c r="E20" s="257"/>
      <c r="F20" s="248"/>
      <c r="G20" s="257"/>
      <c r="H20" s="257"/>
      <c r="I20" s="257"/>
      <c r="J20" s="248"/>
      <c r="K20" s="248"/>
      <c r="L20" s="392"/>
      <c r="M20" s="124"/>
      <c r="N20" s="122"/>
      <c r="O20" s="123"/>
      <c r="P20" s="340"/>
      <c r="Q20" s="481">
        <f>Q18</f>
        <v>-1</v>
      </c>
      <c r="R20" s="481"/>
      <c r="S20" s="482"/>
      <c r="T20" s="483"/>
      <c r="U20" s="385"/>
      <c r="V20" s="35"/>
      <c r="W20" s="79"/>
      <c r="X20" s="148"/>
      <c r="Y20" s="241"/>
      <c r="Z20" s="242"/>
      <c r="AA20" s="162"/>
      <c r="AB20" s="163"/>
      <c r="AC20" s="146"/>
      <c r="AD20" s="149"/>
    </row>
    <row r="21" spans="1:30" ht="12.75" customHeight="1" thickBot="1" x14ac:dyDescent="0.25">
      <c r="A21" s="267">
        <v>46188</v>
      </c>
      <c r="B21" s="309">
        <v>0.30138888888888887</v>
      </c>
      <c r="C21" s="309">
        <v>0.48888888888888887</v>
      </c>
      <c r="D21" s="309">
        <v>0.50277777777777777</v>
      </c>
      <c r="E21" s="266"/>
      <c r="F21" s="266"/>
      <c r="G21" s="266"/>
      <c r="H21" s="266"/>
      <c r="I21" s="309">
        <v>0.59444444444444444</v>
      </c>
      <c r="J21" s="265">
        <v>0</v>
      </c>
      <c r="K21" s="265">
        <f>IF((D21-C21)&lt;=$F$2,0,(D21-C21)-$F$2)</f>
        <v>0</v>
      </c>
      <c r="L21" s="319">
        <f>(I21-B21)-K21-(H21-G21)-J21</f>
        <v>0.29305555555555557</v>
      </c>
      <c r="M21" s="403" t="s">
        <v>45</v>
      </c>
      <c r="N21" s="211"/>
      <c r="O21" s="212"/>
      <c r="P21" s="70">
        <f>MROUND(L21,"0:15")</f>
        <v>0.29166666666666663</v>
      </c>
      <c r="Q21" s="484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1</v>
      </c>
      <c r="R21" s="484"/>
      <c r="S21" s="485"/>
      <c r="T21" s="486">
        <f>T18-L21</f>
        <v>3.2374999999999994</v>
      </c>
      <c r="U21" s="583"/>
      <c r="V21" s="205">
        <v>0.36458333333333331</v>
      </c>
      <c r="W21" s="280">
        <v>45271</v>
      </c>
      <c r="X21" s="682"/>
      <c r="Y21" s="344">
        <f>IF(M21="O",P21 - AA21,"0:00:00")</f>
        <v>0.29166666666666663</v>
      </c>
      <c r="Z21" s="344" t="str">
        <f>IF(M21="C",P21,"0:00:00")</f>
        <v>0:00:00</v>
      </c>
      <c r="AA21" s="531" t="str">
        <f>IF(P21="M",Q21-P21,"0:00:00")</f>
        <v>0:00:00</v>
      </c>
      <c r="AB21" s="157">
        <f>SUM(Y21:Z21)</f>
        <v>0.29166666666666663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67">
        <v>46189</v>
      </c>
      <c r="B22" s="309">
        <v>0.30555555555555552</v>
      </c>
      <c r="C22" s="309">
        <v>0.5</v>
      </c>
      <c r="D22" s="309">
        <v>0.51388888888888895</v>
      </c>
      <c r="E22" s="309"/>
      <c r="F22" s="309"/>
      <c r="G22" s="309"/>
      <c r="H22" s="309"/>
      <c r="I22" s="309">
        <v>0.64027777777777783</v>
      </c>
      <c r="J22" s="265">
        <v>0</v>
      </c>
      <c r="K22" s="265">
        <f>IF((D22-C22)&lt;=$F$2,0,(D22-C22)-$F$2)</f>
        <v>6.2450045135165055E-17</v>
      </c>
      <c r="L22" s="319">
        <f>(I22-B22)-K22-(H22-G22)-J22</f>
        <v>0.33472222222222225</v>
      </c>
      <c r="M22" s="405" t="s">
        <v>53</v>
      </c>
      <c r="N22" s="315"/>
      <c r="O22" s="212"/>
      <c r="P22" s="70">
        <f>MROUND(L22,"0:15")</f>
        <v>0.33333333333333331</v>
      </c>
      <c r="Q22" s="461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3</v>
      </c>
      <c r="R22" s="461"/>
      <c r="S22" s="462"/>
      <c r="T22" s="463">
        <f>T21-L22</f>
        <v>2.9027777777777772</v>
      </c>
      <c r="U22" s="559"/>
      <c r="V22" s="206">
        <v>0.36458333333333331</v>
      </c>
      <c r="W22" s="280">
        <v>45272</v>
      </c>
      <c r="X22" s="682"/>
      <c r="Y22" s="140" t="str">
        <f>IF(M22="O",P22 - AA22,"0:00:00")</f>
        <v>0:00:00</v>
      </c>
      <c r="Z22" s="140">
        <f>IF(M22="C",P22,"0:00:00")</f>
        <v>0.33333333333333331</v>
      </c>
      <c r="AA22" s="504" t="str">
        <f>IF(P22="M",Q22-P22,"0:00:00")</f>
        <v>0:00:00</v>
      </c>
      <c r="AB22" s="158">
        <f>SUM(Y22:Z22)</f>
        <v>0.33333333333333331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67">
        <v>46190</v>
      </c>
      <c r="B23" s="309">
        <v>0.30972222222222223</v>
      </c>
      <c r="C23" s="309">
        <v>0.48125000000000001</v>
      </c>
      <c r="D23" s="309">
        <v>0.49513888888888885</v>
      </c>
      <c r="E23" s="266"/>
      <c r="F23" s="266"/>
      <c r="G23" s="266"/>
      <c r="H23" s="266"/>
      <c r="I23" s="309">
        <v>0.6020833333333333</v>
      </c>
      <c r="J23" s="265">
        <v>0</v>
      </c>
      <c r="K23" s="265">
        <f>IF((D23-C23)&lt;=$F$2,0,(D23-C23)-$F$2)</f>
        <v>0</v>
      </c>
      <c r="L23" s="319">
        <f>(I23-B23)-K23-(H23-G23)-J23</f>
        <v>0.29236111111111107</v>
      </c>
      <c r="M23" s="405" t="s">
        <v>45</v>
      </c>
      <c r="N23" s="211"/>
      <c r="O23" s="212"/>
      <c r="P23" s="70">
        <f>MROUND(L23,"0:15")</f>
        <v>0.29166666666666663</v>
      </c>
      <c r="Q23" s="461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4</v>
      </c>
      <c r="R23" s="461"/>
      <c r="S23" s="462"/>
      <c r="T23" s="463">
        <f>T22-L23</f>
        <v>2.6104166666666662</v>
      </c>
      <c r="U23" s="559"/>
      <c r="V23" s="206">
        <v>0.45833333333333331</v>
      </c>
      <c r="W23" s="280">
        <v>45273</v>
      </c>
      <c r="X23" s="682"/>
      <c r="Y23" s="140">
        <f>IF(M23="O",P23 - AA23,"0:00:00")</f>
        <v>0.29166666666666663</v>
      </c>
      <c r="Z23" s="140" t="str">
        <f>IF(M23="C",P23,"0:00:00")</f>
        <v>0:00:00</v>
      </c>
      <c r="AA23" s="504" t="str">
        <f>IF(P23="M",Q23-P23,"0:00:00")</f>
        <v>0:00:00</v>
      </c>
      <c r="AB23" s="158">
        <f>SUM(Y23:Z23)</f>
        <v>0.29166666666666663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67">
        <v>46191</v>
      </c>
      <c r="B24" s="309">
        <v>0.35416666666666669</v>
      </c>
      <c r="C24" s="309">
        <v>0.5083333333333333</v>
      </c>
      <c r="D24" s="309">
        <v>0.52222222222222225</v>
      </c>
      <c r="E24" s="309"/>
      <c r="F24" s="309"/>
      <c r="G24" s="309"/>
      <c r="H24" s="309"/>
      <c r="I24" s="309">
        <v>0.66597222222222219</v>
      </c>
      <c r="J24" s="265">
        <v>0</v>
      </c>
      <c r="K24" s="265">
        <f>IF((D24-C24)&lt;=$F$2,0,(D24-C24)-$F$2)</f>
        <v>6.2450045135165055E-17</v>
      </c>
      <c r="L24" s="319">
        <f>(I24-B24)-K24-(H24-G24)-J24</f>
        <v>0.31180555555555545</v>
      </c>
      <c r="M24" s="405" t="s">
        <v>53</v>
      </c>
      <c r="N24" s="213"/>
      <c r="O24" s="214"/>
      <c r="P24" s="70">
        <f>MROUND(L24,"0:15")</f>
        <v>0.3125</v>
      </c>
      <c r="Q24" s="487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3</v>
      </c>
      <c r="R24" s="487"/>
      <c r="S24" s="488"/>
      <c r="T24" s="489">
        <f>T23-L24</f>
        <v>2.2986111111111107</v>
      </c>
      <c r="U24" s="559"/>
      <c r="V24" s="182">
        <v>0.32291666666666669</v>
      </c>
      <c r="W24" s="280">
        <v>45274</v>
      </c>
      <c r="X24" s="682"/>
      <c r="Y24" s="140" t="str">
        <f>IF(M24="O",P24 - AA24,"0:00:00")</f>
        <v>0:00:00</v>
      </c>
      <c r="Z24" s="140">
        <f>IF(M24="C",P24,"0:00:00")</f>
        <v>0.3125</v>
      </c>
      <c r="AA24" s="504" t="str">
        <f>IF(P24="M",Q24-P24,"0:00:00")</f>
        <v>0:00:00</v>
      </c>
      <c r="AB24" s="158">
        <f>SUM(Y24:Z24)</f>
        <v>0.3125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267">
        <v>46192</v>
      </c>
      <c r="B25" s="309">
        <v>0.30069444444444443</v>
      </c>
      <c r="C25" s="309">
        <v>0.54166666666666663</v>
      </c>
      <c r="D25" s="309">
        <v>0.54513888888888895</v>
      </c>
      <c r="E25" s="266"/>
      <c r="F25" s="266"/>
      <c r="G25" s="266"/>
      <c r="H25" s="266"/>
      <c r="I25" s="309">
        <v>0.59236111111111112</v>
      </c>
      <c r="J25" s="265">
        <v>0</v>
      </c>
      <c r="K25" s="265">
        <f>IF((D25-C25)&lt;=$F$2,0,(D25-C25)-$F$2)</f>
        <v>0</v>
      </c>
      <c r="L25" s="319">
        <f>(I25-B25)-K25-(H25-G25)-J25</f>
        <v>0.29166666666666669</v>
      </c>
      <c r="M25" s="543" t="s">
        <v>53</v>
      </c>
      <c r="N25" s="211"/>
      <c r="O25" s="212"/>
      <c r="P25" s="70">
        <f>MROUND(L25,"0:15")</f>
        <v>0.29166666666666663</v>
      </c>
      <c r="Q25" s="490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3</v>
      </c>
      <c r="R25" s="490"/>
      <c r="S25" s="491"/>
      <c r="T25" s="492">
        <f>T24-L25</f>
        <v>2.0069444444444442</v>
      </c>
      <c r="U25" s="575"/>
      <c r="V25" s="182">
        <v>0.36458333333333331</v>
      </c>
      <c r="W25" s="280">
        <v>45275</v>
      </c>
      <c r="X25" s="682"/>
      <c r="Y25" s="364" t="str">
        <f>IF(M25="O",P25 - AA25,"0:00:00")</f>
        <v>0:00:00</v>
      </c>
      <c r="Z25" s="365">
        <f>IF(M25="C",P25,"0:00:00")</f>
        <v>0.29166666666666663</v>
      </c>
      <c r="AA25" s="143" t="str">
        <f>IF(P25="M",Q25-P25,"0:00:00")</f>
        <v>0:00:00</v>
      </c>
      <c r="AB25" s="159">
        <f>SUM(Y25:Z25)</f>
        <v>0.29166666666666663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1.523611111111111</v>
      </c>
      <c r="M26" s="546"/>
      <c r="N26" s="320"/>
      <c r="O26" s="321"/>
      <c r="P26" s="723">
        <f>SUM(P21:P25)</f>
        <v>1.520833333333333</v>
      </c>
      <c r="Q26" s="724"/>
      <c r="R26" s="724"/>
      <c r="S26" s="724"/>
      <c r="T26" s="725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6.5" thickTop="1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547"/>
      <c r="N27" s="122"/>
      <c r="O27" s="123"/>
      <c r="P27" s="337"/>
      <c r="Q27" s="470">
        <f>Q25</f>
        <v>3</v>
      </c>
      <c r="R27" s="470"/>
      <c r="S27" s="471"/>
      <c r="T27" s="472"/>
      <c r="U27" s="374"/>
      <c r="V27" s="35"/>
      <c r="W27" s="81"/>
      <c r="X27" s="148"/>
      <c r="Y27" s="241"/>
      <c r="Z27" s="242"/>
      <c r="AA27" s="162"/>
      <c r="AB27" s="163"/>
      <c r="AC27" s="146"/>
      <c r="AD27" s="149"/>
    </row>
    <row r="28" spans="1:30" ht="15.75" customHeight="1" thickBot="1" x14ac:dyDescent="0.25">
      <c r="A28" s="267">
        <v>46195</v>
      </c>
      <c r="B28" s="309">
        <v>0.30277777777777776</v>
      </c>
      <c r="C28" s="309">
        <v>0.49583333333333335</v>
      </c>
      <c r="D28" s="309">
        <v>0.51041666666666663</v>
      </c>
      <c r="E28" s="266"/>
      <c r="F28" s="266"/>
      <c r="G28" s="266"/>
      <c r="H28" s="266"/>
      <c r="I28" s="309">
        <v>0.58472222222222225</v>
      </c>
      <c r="J28" s="265">
        <v>0</v>
      </c>
      <c r="K28" s="265">
        <f>IF((D28-C28)&lt;=$F$2,0,(D28-C28)-$F$2)</f>
        <v>6.9444444444439341E-4</v>
      </c>
      <c r="L28" s="319">
        <f>(I28-B28)-K28-(H28-G28)-J28</f>
        <v>0.28125000000000011</v>
      </c>
      <c r="M28" s="403" t="s">
        <v>45</v>
      </c>
      <c r="N28" s="211"/>
      <c r="O28" s="212"/>
      <c r="P28" s="70">
        <f>MROUND(L28,"0:15")</f>
        <v>0.28125</v>
      </c>
      <c r="Q28" s="484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3</v>
      </c>
      <c r="R28" s="484"/>
      <c r="S28" s="485"/>
      <c r="T28" s="486">
        <f>T25-L28</f>
        <v>1.7256944444444442</v>
      </c>
      <c r="U28" s="100"/>
      <c r="V28" s="205">
        <v>0.30208333333333331</v>
      </c>
      <c r="W28" s="280">
        <v>45278</v>
      </c>
      <c r="X28" s="682"/>
      <c r="Y28" s="344">
        <f>IF(M28="O",P28 - AA28,"0:00:00")</f>
        <v>0.28125</v>
      </c>
      <c r="Z28" s="344" t="str">
        <f>IF(M28="C",P28,"0:00:00")</f>
        <v>0:00:00</v>
      </c>
      <c r="AA28" s="531" t="str">
        <f>IF(P28="M",Q28-P28,"0:00:00")</f>
        <v>0:00:00</v>
      </c>
      <c r="AB28" s="157">
        <f>SUM(Y28:Z28)</f>
        <v>0.28125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267">
        <v>46196</v>
      </c>
      <c r="B29" s="309">
        <v>0.35555555555555557</v>
      </c>
      <c r="C29" s="309">
        <v>0.5180555555555556</v>
      </c>
      <c r="D29" s="309">
        <v>0.53194444444444444</v>
      </c>
      <c r="E29" s="309"/>
      <c r="F29" s="309"/>
      <c r="G29" s="309"/>
      <c r="H29" s="309"/>
      <c r="I29" s="309">
        <v>0.65763888888888888</v>
      </c>
      <c r="J29" s="265">
        <v>0</v>
      </c>
      <c r="K29" s="265">
        <f>IF((D29-C29)&lt;=$F$2,0,(D29-C29)-$F$2)</f>
        <v>0</v>
      </c>
      <c r="L29" s="319">
        <f t="shared" ref="L29:L32" si="2">(I29-B29)-K29-(H29-G29)-J29</f>
        <v>0.30208333333333331</v>
      </c>
      <c r="M29" s="405" t="s">
        <v>53</v>
      </c>
      <c r="N29" s="211"/>
      <c r="O29" s="212"/>
      <c r="P29" s="70">
        <f>MROUND(L29,"0:15")</f>
        <v>0.30208333333333331</v>
      </c>
      <c r="Q29" s="461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3</v>
      </c>
      <c r="R29" s="461"/>
      <c r="S29" s="462"/>
      <c r="T29" s="463">
        <f>T28-L29</f>
        <v>1.4236111111111109</v>
      </c>
      <c r="U29" s="97"/>
      <c r="V29" s="206">
        <v>0</v>
      </c>
      <c r="W29" s="280">
        <v>45279</v>
      </c>
      <c r="X29" s="682"/>
      <c r="Y29" s="140" t="str">
        <f>IF(M29="O",P29 - AA29,"0:00:00")</f>
        <v>0:00:00</v>
      </c>
      <c r="Z29" s="140">
        <f>IF(M29="C",P29,"0:00:00")</f>
        <v>0.30208333333333331</v>
      </c>
      <c r="AA29" s="504" t="str">
        <f>IF(P29="M",Q29-P29,"0:00:00")</f>
        <v>0:00:00</v>
      </c>
      <c r="AB29" s="158">
        <f>SUM(Y29:Z29)</f>
        <v>0.30208333333333331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267">
        <v>46197</v>
      </c>
      <c r="B30" s="309">
        <v>0.30208333333333331</v>
      </c>
      <c r="C30" s="309">
        <v>0.50555555555555554</v>
      </c>
      <c r="D30" s="309">
        <v>0.51944444444444449</v>
      </c>
      <c r="E30" s="266"/>
      <c r="F30" s="266"/>
      <c r="G30" s="266"/>
      <c r="H30" s="266"/>
      <c r="I30" s="309">
        <v>0.61458333333333337</v>
      </c>
      <c r="J30" s="265">
        <v>0</v>
      </c>
      <c r="K30" s="265">
        <f>IF((D30-C30)&lt;=$F$2,0,(D30-C30)-$F$2)</f>
        <v>6.2450045135165055E-17</v>
      </c>
      <c r="L30" s="319">
        <f t="shared" si="2"/>
        <v>0.3125</v>
      </c>
      <c r="M30" s="405" t="s">
        <v>45</v>
      </c>
      <c r="N30" s="211"/>
      <c r="O30" s="212"/>
      <c r="P30" s="70">
        <f>MROUND(L30,"0:15")</f>
        <v>0.3125</v>
      </c>
      <c r="Q30" s="461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3</v>
      </c>
      <c r="R30" s="461"/>
      <c r="S30" s="462"/>
      <c r="T30" s="463">
        <f>T29-L30</f>
        <v>1.1111111111111109</v>
      </c>
      <c r="U30" s="97"/>
      <c r="V30" s="206">
        <v>0.35416666666666669</v>
      </c>
      <c r="W30" s="280">
        <v>45280</v>
      </c>
      <c r="X30" s="682"/>
      <c r="Y30" s="140">
        <f>IF(M30="O",P30 - AA30,"0:00:00")</f>
        <v>0.3125</v>
      </c>
      <c r="Z30" s="140" t="str">
        <f>IF(M30="C",P30,"0:00:00")</f>
        <v>0:00:00</v>
      </c>
      <c r="AA30" s="504" t="str">
        <f>IF(P30="M",Q30-P30,"0:00:00")</f>
        <v>0:00:00</v>
      </c>
      <c r="AB30" s="158">
        <f>SUM(Y30:Z30)</f>
        <v>0.3125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267">
        <v>46198</v>
      </c>
      <c r="B31" s="309">
        <v>0.30624999999999997</v>
      </c>
      <c r="C31" s="309">
        <v>0.43888888888888888</v>
      </c>
      <c r="D31" s="309">
        <v>0.45277777777777778</v>
      </c>
      <c r="E31" s="266"/>
      <c r="F31" s="266"/>
      <c r="G31" s="266"/>
      <c r="H31" s="266"/>
      <c r="I31" s="309">
        <v>0.59652777777777777</v>
      </c>
      <c r="J31" s="265">
        <v>0</v>
      </c>
      <c r="K31" s="265">
        <f>IF((D31-C31)&lt;=$F$2,0,(D31-C31)-$F$2)</f>
        <v>0</v>
      </c>
      <c r="L31" s="319">
        <f t="shared" si="2"/>
        <v>0.2902777777777778</v>
      </c>
      <c r="M31" s="405" t="s">
        <v>53</v>
      </c>
      <c r="N31" s="213"/>
      <c r="O31" s="214"/>
      <c r="P31" s="70">
        <f>MROUND(L31,"0:15")</f>
        <v>0.29166666666666663</v>
      </c>
      <c r="Q31" s="461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1</v>
      </c>
      <c r="R31" s="461"/>
      <c r="S31" s="462"/>
      <c r="T31" s="463">
        <f>T30-L31</f>
        <v>0.82083333333333308</v>
      </c>
      <c r="U31" s="97"/>
      <c r="V31" s="206">
        <v>0.41666666666666669</v>
      </c>
      <c r="W31" s="280">
        <v>45281</v>
      </c>
      <c r="X31" s="682"/>
      <c r="Y31" s="140" t="str">
        <f>IF(M31="O",P31 - AA31,"0:00:00")</f>
        <v>0:00:00</v>
      </c>
      <c r="Z31" s="140">
        <f>IF(M31="C",P31,"0:00:00")</f>
        <v>0.29166666666666663</v>
      </c>
      <c r="AA31" s="504" t="str">
        <f>IF(P31="M",Q31-P31,"0:00:00")</f>
        <v>0:00:00</v>
      </c>
      <c r="AB31" s="158">
        <f>SUM(Y31:Z31)</f>
        <v>0.29166666666666663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267">
        <v>46199</v>
      </c>
      <c r="B32" s="309">
        <v>0.31111111111111112</v>
      </c>
      <c r="C32" s="309">
        <v>0.50069444444444444</v>
      </c>
      <c r="D32" s="309">
        <v>0.51388888888888895</v>
      </c>
      <c r="E32" s="266"/>
      <c r="F32" s="266"/>
      <c r="G32" s="266"/>
      <c r="H32" s="266"/>
      <c r="I32" s="309">
        <v>0.60277777777777775</v>
      </c>
      <c r="J32" s="609">
        <v>0</v>
      </c>
      <c r="K32" s="609">
        <f>IF((D32-C32)&lt;=$F$2,0,(D32-C32)-$F$2)</f>
        <v>0</v>
      </c>
      <c r="L32" s="610">
        <f t="shared" si="2"/>
        <v>0.29166666666666663</v>
      </c>
      <c r="M32" s="543" t="s">
        <v>53</v>
      </c>
      <c r="N32" s="211"/>
      <c r="O32" s="212"/>
      <c r="P32" s="70">
        <f>MROUND(L32,"0:15")</f>
        <v>0.29166666666666663</v>
      </c>
      <c r="Q32" s="461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1</v>
      </c>
      <c r="R32" s="461"/>
      <c r="S32" s="462"/>
      <c r="T32" s="463">
        <f>T31-L32</f>
        <v>0.52916666666666645</v>
      </c>
      <c r="U32" s="111"/>
      <c r="V32" s="78">
        <v>0.35416666666666669</v>
      </c>
      <c r="W32" s="280">
        <v>45282</v>
      </c>
      <c r="X32" s="682"/>
      <c r="Y32" s="364" t="str">
        <f>IF(M32="O",P32 - AA32,"0:00:00")</f>
        <v>0:00:00</v>
      </c>
      <c r="Z32" s="365">
        <f>IF(M32="C",P32,"0:00:00")</f>
        <v>0.29166666666666663</v>
      </c>
      <c r="AA32" s="143" t="str">
        <f>IF(P32="M",Q32-P32,"0:00:00")</f>
        <v>0:00:00</v>
      </c>
      <c r="AB32" s="159">
        <f>SUM(Y32:Z32)</f>
        <v>0.29166666666666663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1.4777777777777779</v>
      </c>
      <c r="M33" s="544"/>
      <c r="N33" s="320"/>
      <c r="O33" s="321"/>
      <c r="P33" s="723">
        <f>SUM(P28:P32)</f>
        <v>1.4791666666666665</v>
      </c>
      <c r="Q33" s="724"/>
      <c r="R33" s="724"/>
      <c r="S33" s="724"/>
      <c r="T33" s="725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584"/>
      <c r="N34" s="549"/>
      <c r="O34" s="119"/>
      <c r="P34" s="337"/>
      <c r="Q34" s="470">
        <f>Q32</f>
        <v>1</v>
      </c>
      <c r="R34" s="470"/>
      <c r="S34" s="471"/>
      <c r="T34" s="472"/>
      <c r="U34" s="374"/>
      <c r="V34" s="35"/>
      <c r="W34" s="82"/>
      <c r="X34" s="148"/>
      <c r="Y34" s="241"/>
      <c r="Z34" s="242"/>
      <c r="AA34" s="162"/>
      <c r="AB34" s="163"/>
      <c r="AC34" s="146"/>
      <c r="AD34" s="149"/>
    </row>
    <row r="35" spans="1:30" ht="12.75" customHeight="1" thickBot="1" x14ac:dyDescent="0.25">
      <c r="A35" s="267">
        <v>46202</v>
      </c>
      <c r="B35" s="309">
        <v>0.2986111111111111</v>
      </c>
      <c r="C35" s="309">
        <v>0.46111111111111108</v>
      </c>
      <c r="D35" s="309">
        <v>0.47430555555555554</v>
      </c>
      <c r="E35" s="266"/>
      <c r="F35" s="266"/>
      <c r="G35" s="266"/>
      <c r="H35" s="266"/>
      <c r="I35" s="309">
        <v>0.60555555555555551</v>
      </c>
      <c r="J35" s="309">
        <v>0</v>
      </c>
      <c r="K35" s="309">
        <f>IF((D35-C35)&lt;=$F$2,0,(D35-C35)-$F$2)</f>
        <v>0</v>
      </c>
      <c r="L35" s="319">
        <f t="shared" ref="L35:L36" si="3">(I35-B35)-K35-(H35-G35)-J35</f>
        <v>0.30694444444444441</v>
      </c>
      <c r="M35" s="585" t="s">
        <v>45</v>
      </c>
      <c r="N35" s="315"/>
      <c r="O35" s="212"/>
      <c r="P35" s="70">
        <f>MROUND(L35,"0:15")</f>
        <v>0.30208333333333331</v>
      </c>
      <c r="Q35" s="484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-7</v>
      </c>
      <c r="R35" s="484"/>
      <c r="S35" s="485"/>
      <c r="T35" s="486">
        <f>T32-L35</f>
        <v>0.22222222222222204</v>
      </c>
      <c r="U35" s="100"/>
      <c r="V35" s="151">
        <v>0.33333333333333331</v>
      </c>
      <c r="W35" s="280">
        <v>45285</v>
      </c>
      <c r="X35" s="682"/>
      <c r="Y35" s="344">
        <f>IF(M35="O",P35 - AA35,"0:00:00")</f>
        <v>0.30208333333333331</v>
      </c>
      <c r="Z35" s="344" t="str">
        <f t="shared" ref="Z35:Z39" si="4">IF(M35="C",P35,"0:00:00")</f>
        <v>0:00:00</v>
      </c>
      <c r="AA35" s="531" t="str">
        <f>IF(P35="M",Q35-P35,"0:00:00")</f>
        <v>0:00:00</v>
      </c>
      <c r="AB35" s="157">
        <f>SUM(Y35:Z35)</f>
        <v>0.30208333333333331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267">
        <v>46203</v>
      </c>
      <c r="B36" s="606">
        <v>0.35625000000000001</v>
      </c>
      <c r="C36" s="606">
        <v>0.53680555555555554</v>
      </c>
      <c r="D36" s="606">
        <v>0.55069444444444449</v>
      </c>
      <c r="E36" s="608"/>
      <c r="F36" s="608"/>
      <c r="G36" s="608"/>
      <c r="H36" s="608"/>
      <c r="I36" s="606">
        <v>0.66388888888888886</v>
      </c>
      <c r="J36" s="606">
        <v>0</v>
      </c>
      <c r="K36" s="606">
        <v>0</v>
      </c>
      <c r="L36" s="319">
        <f t="shared" si="3"/>
        <v>0.30763888888888885</v>
      </c>
      <c r="M36" s="585" t="s">
        <v>53</v>
      </c>
      <c r="N36" s="315"/>
      <c r="O36" s="212"/>
      <c r="P36" s="70">
        <f>MROUND(L36,"0:15")</f>
        <v>0.3125</v>
      </c>
      <c r="Q36" s="461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1</v>
      </c>
      <c r="R36" s="461"/>
      <c r="S36" s="462"/>
      <c r="T36" s="463">
        <f>T35-L36</f>
        <v>-8.5416666666666807E-2</v>
      </c>
      <c r="U36" s="97"/>
      <c r="V36" s="77">
        <v>0.45833333333333331</v>
      </c>
      <c r="W36" s="280">
        <v>45286</v>
      </c>
      <c r="X36" s="682"/>
      <c r="Y36" s="140" t="str">
        <f>IF(M36="O",P36 - AA36,"0:00:00")</f>
        <v>0:00:00</v>
      </c>
      <c r="Z36" s="140">
        <f t="shared" si="4"/>
        <v>0.3125</v>
      </c>
      <c r="AA36" s="504" t="str">
        <f>IF(P36="M",Q36-P36,"0:00:00")</f>
        <v>0:00:00</v>
      </c>
      <c r="AB36" s="158">
        <f>SUM(Y36:Z36)</f>
        <v>0.3125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587"/>
      <c r="B37" s="588"/>
      <c r="C37" s="588"/>
      <c r="D37" s="588"/>
      <c r="E37" s="600"/>
      <c r="F37" s="600"/>
      <c r="G37" s="588"/>
      <c r="H37" s="588"/>
      <c r="I37" s="588"/>
      <c r="J37" s="588"/>
      <c r="K37" s="588"/>
      <c r="L37" s="590"/>
      <c r="M37" s="598"/>
      <c r="N37" s="315"/>
      <c r="O37" s="212"/>
      <c r="P37" s="70">
        <f>TIME(MID(TEXT(L37,"hh:mm:ss"),1,2), IF(ABS((MID(TEXT(L37,"hh:mm:ss"),4,2)+Q36)-FLOOR((MID(TEXT(L37,"hh:mm:ss"),4,2)+Q36),15))&gt;=ABS((MID(TEXT(L37,"hh:mm:ss"),4,2)+Q36)-CEILING((MID(TEXT(L37,"hh:mm:ss"),4,2)+Q36),15)),CEILING((MID(TEXT(L37,"hh:mm:ss"),4,2)+Q36),15),FLOOR((MID(TEXT(L37,"hh:mm:ss"),4,2)+Q36),15)), MID(TEXT(L37,"hh:mm:ss"),7,2))</f>
        <v>0</v>
      </c>
      <c r="Q37" s="461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1</v>
      </c>
      <c r="R37" s="461"/>
      <c r="S37" s="462"/>
      <c r="T37" s="463">
        <f>T36-L37</f>
        <v>-8.5416666666666807E-2</v>
      </c>
      <c r="U37" s="97"/>
      <c r="V37" s="77">
        <v>0.33333333333333331</v>
      </c>
      <c r="W37" s="280">
        <v>45287</v>
      </c>
      <c r="X37" s="682"/>
      <c r="Y37" s="140" t="str">
        <f>IF(M37="O",P37 - AA37,"0:00:00")</f>
        <v>0:00:00</v>
      </c>
      <c r="Z37" s="140" t="str">
        <f t="shared" si="4"/>
        <v>0:00:00</v>
      </c>
      <c r="AA37" s="504" t="str">
        <f>IF(P37="M",Q37-P37,"0:00:00")</f>
        <v>0:00:00</v>
      </c>
      <c r="AB37" s="158">
        <f>SUM(Y37:Z37)</f>
        <v>0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587"/>
      <c r="B38" s="588"/>
      <c r="C38" s="588"/>
      <c r="D38" s="588"/>
      <c r="E38" s="588"/>
      <c r="F38" s="588"/>
      <c r="G38" s="588"/>
      <c r="H38" s="588"/>
      <c r="I38" s="588"/>
      <c r="J38" s="588"/>
      <c r="K38" s="588"/>
      <c r="L38" s="590"/>
      <c r="M38" s="585"/>
      <c r="N38" s="316"/>
      <c r="O38" s="214"/>
      <c r="P38" s="70">
        <f>TIME(MID(TEXT(L38,"hh:mm:ss"),1,2), IF(ABS((MID(TEXT(L38,"hh:mm:ss"),4,2)+Q37)-FLOOR((MID(TEXT(L38,"hh:mm:ss"),4,2)+Q37),15))&gt;=ABS((MID(TEXT(L38,"hh:mm:ss"),4,2)+Q37)-CEILING((MID(TEXT(L38,"hh:mm:ss"),4,2)+Q37),15)),CEILING((MID(TEXT(L38,"hh:mm:ss"),4,2)+Q37),15),FLOOR((MID(TEXT(L38,"hh:mm:ss"),4,2)+Q37),15)), MID(TEXT(L38,"hh:mm:ss"),7,2))</f>
        <v>0</v>
      </c>
      <c r="Q38" s="493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1</v>
      </c>
      <c r="R38" s="493"/>
      <c r="S38" s="494"/>
      <c r="T38" s="495">
        <f>T37-L38</f>
        <v>-8.5416666666666807E-2</v>
      </c>
      <c r="U38" s="97"/>
      <c r="V38" s="77">
        <v>0.45833333333333331</v>
      </c>
      <c r="W38" s="280">
        <v>45288</v>
      </c>
      <c r="X38" s="682"/>
      <c r="Y38" s="140" t="str">
        <f>IF(M38="O",P38 - AA38,"0:00:00")</f>
        <v>0:00:00</v>
      </c>
      <c r="Z38" s="140" t="str">
        <f t="shared" si="4"/>
        <v>0:00:00</v>
      </c>
      <c r="AA38" s="504" t="str">
        <f>IF(P38="M",Q38-P38,"0:00:00")</f>
        <v>0:00:00</v>
      </c>
      <c r="AB38" s="158">
        <f>SUM(Y38:Z38)</f>
        <v>0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587"/>
      <c r="B39" s="588"/>
      <c r="C39" s="588"/>
      <c r="D39" s="588"/>
      <c r="E39" s="588"/>
      <c r="F39" s="588"/>
      <c r="G39" s="588"/>
      <c r="H39" s="588"/>
      <c r="I39" s="588"/>
      <c r="J39" s="588"/>
      <c r="K39" s="588"/>
      <c r="L39" s="590"/>
      <c r="M39" s="585"/>
      <c r="N39" s="315"/>
      <c r="O39" s="212"/>
      <c r="P39" s="70">
        <f>TIME(MID(TEXT(L39,"hh:mm:ss"),1,2), IF(ABS((MID(TEXT(L39,"hh:mm:ss"),4,2)+Q38)-FLOOR((MID(TEXT(L39,"hh:mm:ss"),4,2)+Q38),15))&gt;=ABS((MID(TEXT(L39,"hh:mm:ss"),4,2)+Q38)-CEILING((MID(TEXT(L39,"hh:mm:ss"),4,2)+Q38),15)),CEILING((MID(TEXT(L39,"hh:mm:ss"),4,2)+Q38),15),FLOOR((MID(TEXT(L39,"hh:mm:ss"),4,2)+Q38),15)), MID(TEXT(L39,"hh:mm:ss"),7,2))</f>
        <v>0</v>
      </c>
      <c r="Q39" s="496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496"/>
      <c r="S39" s="497"/>
      <c r="T39" s="498">
        <f>T38-L39</f>
        <v>-8.5416666666666807E-2</v>
      </c>
      <c r="U39" s="94"/>
      <c r="V39" s="78"/>
      <c r="W39" s="280">
        <v>45289</v>
      </c>
      <c r="X39" s="709"/>
      <c r="Y39" s="501" t="str">
        <f>IF(M39="O",P39 - AA39,"0:00:00")</f>
        <v>0:00:00</v>
      </c>
      <c r="Z39" s="140" t="str">
        <f t="shared" si="4"/>
        <v>0:00:00</v>
      </c>
      <c r="AA39" s="379" t="str">
        <f>IF(P39="M",Q39-P39,"0:00:00")</f>
        <v>0:00:00</v>
      </c>
      <c r="AB39" s="164">
        <f>SUM(Y39:Z39)</f>
        <v>0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391">
        <f>SUM(L35:L39)</f>
        <v>0.61458333333333326</v>
      </c>
      <c r="M40" s="456"/>
      <c r="N40" s="132"/>
      <c r="O40" s="133"/>
      <c r="P40" s="513">
        <f>SUM(P35:P39)</f>
        <v>0.61458333333333326</v>
      </c>
      <c r="Q40" s="499"/>
      <c r="R40" s="499"/>
      <c r="S40" s="499"/>
      <c r="T40" s="499"/>
      <c r="U40" s="387"/>
      <c r="V40" s="172"/>
      <c r="W40" s="145" t="s">
        <v>23</v>
      </c>
      <c r="X40" s="153"/>
      <c r="Y40" s="165"/>
      <c r="Z40" s="242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284"/>
      <c r="B42" s="285"/>
      <c r="C42" s="285"/>
      <c r="D42" s="285"/>
      <c r="E42" s="285"/>
      <c r="F42" s="285"/>
      <c r="G42" s="285"/>
      <c r="H42" s="285"/>
      <c r="I42" s="285"/>
      <c r="J42" s="286"/>
      <c r="K42" s="286"/>
      <c r="L42" s="287"/>
      <c r="M42" s="67"/>
      <c r="N42" s="67"/>
      <c r="O42" s="67"/>
      <c r="X42" s="148"/>
      <c r="Y42" s="168">
        <f>SUM(Y7:Y11,Y14:Y18,Y21:Y25,Y28:Y32,Y35:Y39)</f>
        <v>3.7604166666666661</v>
      </c>
      <c r="Z42" s="169">
        <f>SUM(Z7:Z11,Z14:Z18,Z21:Z25,Z28:Z32,Z35:Z39)</f>
        <v>3.1562499999999996</v>
      </c>
      <c r="AA42" s="169">
        <f>SUM(AA7:AA11,AA14:AA18,AA21:AA25,AA28:AA32,AA35:AA39)</f>
        <v>0</v>
      </c>
      <c r="AB42" s="170">
        <f>SUM(AB7:AB11,AB14:AB18,AB21:AB25,AB28:AB32,AB35:AB39)</f>
        <v>6.916666666666667</v>
      </c>
      <c r="AC42" s="109"/>
      <c r="AD42" s="154"/>
    </row>
    <row r="43" spans="1:30" ht="13.5" thickBot="1" x14ac:dyDescent="0.25">
      <c r="A43" s="288" t="s">
        <v>24</v>
      </c>
      <c r="B43" s="289"/>
      <c r="C43" s="289"/>
      <c r="D43" s="289"/>
      <c r="E43" s="289"/>
      <c r="F43" s="289"/>
      <c r="G43" s="289"/>
      <c r="H43" s="289"/>
      <c r="I43" s="289"/>
      <c r="J43" s="290"/>
      <c r="K43" s="290"/>
      <c r="L43" s="291">
        <f>SUM(L33,L26,L19,L12,L40)</f>
        <v>6.916666666666667</v>
      </c>
      <c r="M43" s="185"/>
      <c r="N43" s="185"/>
      <c r="O43" s="185"/>
      <c r="P43" s="83">
        <f>SUM(P12,P19,P26,P33,P40)</f>
        <v>6.9166666666666652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 t="s">
        <v>52</v>
      </c>
      <c r="D44" s="35" t="s">
        <v>52</v>
      </c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0.5436746987951806</v>
      </c>
      <c r="Z44" s="155">
        <f>Z42/C47</f>
        <v>0.45632530120481918</v>
      </c>
      <c r="AA44" s="156">
        <f>AA42/C47</f>
        <v>0</v>
      </c>
      <c r="AB44" s="180">
        <f>SUM(Y44:AA44)</f>
        <v>0.99999999999999978</v>
      </c>
    </row>
    <row r="45" spans="1:30" ht="18.75" thickBot="1" x14ac:dyDescent="0.25">
      <c r="A45" s="292"/>
      <c r="B45" s="293"/>
      <c r="C45" s="293"/>
      <c r="D45" s="293"/>
      <c r="E45" s="293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18" t="s">
        <v>25</v>
      </c>
      <c r="B46" s="719"/>
      <c r="C46" s="294">
        <f>J1*J2+L1*L2</f>
        <v>6.833333333333333</v>
      </c>
      <c r="D46" s="294"/>
      <c r="E46" s="294"/>
      <c r="F46" s="295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96"/>
      <c r="B47" s="297" t="s">
        <v>26</v>
      </c>
      <c r="C47" s="298">
        <f>L43</f>
        <v>6.916666666666667</v>
      </c>
      <c r="D47" s="298"/>
      <c r="E47" s="298"/>
      <c r="F47" s="299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96"/>
      <c r="B48" s="297" t="s">
        <v>27</v>
      </c>
      <c r="C48" s="294" t="str">
        <f>IF(C46&gt;C47,C46-C47,"00:00:00")</f>
        <v>00:00:00</v>
      </c>
      <c r="D48" s="298"/>
      <c r="E48" s="298"/>
      <c r="F48" s="300"/>
      <c r="K48" s="35"/>
      <c r="P48" s="215"/>
      <c r="Q48" s="216"/>
      <c r="R48" s="216"/>
      <c r="S48" s="216"/>
      <c r="T48" s="264"/>
      <c r="U48" s="216"/>
    </row>
    <row r="49" spans="1:30" ht="13.5" thickBot="1" x14ac:dyDescent="0.25">
      <c r="A49" s="296"/>
      <c r="B49" s="297" t="s">
        <v>28</v>
      </c>
      <c r="C49" s="294">
        <f>IF(C47&gt;C46,C47-C46,"00:00:00")</f>
        <v>8.3333333333333925E-2</v>
      </c>
      <c r="D49" s="301"/>
      <c r="E49" s="302" t="s">
        <v>29</v>
      </c>
      <c r="F49" s="295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292"/>
      <c r="B50" s="293"/>
      <c r="C50" s="293"/>
      <c r="D50" s="293"/>
      <c r="E50" s="293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96"/>
      <c r="B51" s="297" t="s">
        <v>30</v>
      </c>
      <c r="C51" s="68">
        <v>0</v>
      </c>
      <c r="D51" s="294"/>
      <c r="E51" s="303" t="s">
        <v>31</v>
      </c>
      <c r="F51" s="304" t="str">
        <f>IF(C51&gt;C52,C51-C52,"00:00:00")</f>
        <v>00:00:00</v>
      </c>
    </row>
    <row r="52" spans="1:30" ht="13.5" thickBot="1" x14ac:dyDescent="0.25">
      <c r="A52" s="296"/>
      <c r="B52" s="297" t="s">
        <v>32</v>
      </c>
      <c r="C52" s="68">
        <v>0</v>
      </c>
      <c r="D52" s="294"/>
      <c r="E52" s="303" t="s">
        <v>33</v>
      </c>
      <c r="F52" s="304" t="str">
        <f>IF(C52&gt;C51,C52-C51,"00:00:00")</f>
        <v>00:00:00</v>
      </c>
    </row>
    <row r="53" spans="1:30" ht="13.5" thickBot="1" x14ac:dyDescent="0.25">
      <c r="A53" s="712" t="s">
        <v>34</v>
      </c>
      <c r="B53" s="713"/>
      <c r="C53" s="305">
        <f>Horas!C3-(J1+L1)</f>
        <v>0</v>
      </c>
      <c r="D53" s="714" t="s">
        <v>94</v>
      </c>
      <c r="E53" s="714"/>
      <c r="F53" s="306">
        <v>0</v>
      </c>
      <c r="P53" s="66"/>
      <c r="Q53" s="2"/>
      <c r="R53" s="2"/>
    </row>
    <row r="54" spans="1:30" ht="13.5" thickBot="1" x14ac:dyDescent="0.25">
      <c r="A54" s="715" t="s">
        <v>36</v>
      </c>
      <c r="B54" s="716"/>
      <c r="C54" s="307">
        <v>0</v>
      </c>
      <c r="D54" s="717" t="s">
        <v>37</v>
      </c>
      <c r="E54" s="717"/>
      <c r="F54" s="308">
        <v>0</v>
      </c>
      <c r="P54" s="66"/>
      <c r="Q54" s="2"/>
      <c r="R54" s="2"/>
    </row>
    <row r="55" spans="1:30" ht="13.5" thickBot="1" x14ac:dyDescent="0.25">
      <c r="A55" s="292"/>
      <c r="B55" s="293"/>
      <c r="C55" s="293"/>
      <c r="D55" s="293"/>
      <c r="E55" s="293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A54:B54"/>
    <mergeCell ref="D54:E54"/>
    <mergeCell ref="A46:B46"/>
    <mergeCell ref="Q46:Q47"/>
    <mergeCell ref="R46:R47"/>
    <mergeCell ref="S46:S47"/>
    <mergeCell ref="T46:T47"/>
    <mergeCell ref="A53:B53"/>
    <mergeCell ref="D53:E53"/>
    <mergeCell ref="P19:T19"/>
    <mergeCell ref="X21:X25"/>
    <mergeCell ref="P26:T26"/>
    <mergeCell ref="X28:X32"/>
    <mergeCell ref="P33:T33"/>
    <mergeCell ref="X35:X39"/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AE59"/>
  <sheetViews>
    <sheetView zoomScaleNormal="100" workbookViewId="0">
      <pane ySplit="6" topLeftCell="A28" activePane="bottomLeft" state="frozen"/>
      <selection pane="bottomLeft" activeCell="I39" sqref="I39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5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31" t="s">
        <v>0</v>
      </c>
      <c r="B1" s="726" t="s">
        <v>38</v>
      </c>
      <c r="C1" s="727"/>
      <c r="D1" s="728"/>
      <c r="E1" s="29" t="s">
        <v>1</v>
      </c>
      <c r="F1" s="10">
        <v>2.0833333333333329E-2</v>
      </c>
      <c r="I1" s="6" t="s">
        <v>2</v>
      </c>
      <c r="J1" s="7">
        <v>22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32" t="s">
        <v>3</v>
      </c>
      <c r="B2" s="729"/>
      <c r="C2" s="730"/>
      <c r="D2" s="731"/>
      <c r="E2" s="30" t="s">
        <v>4</v>
      </c>
      <c r="F2" s="11">
        <v>1.3888888888888888E-2</v>
      </c>
      <c r="I2" s="8" t="s">
        <v>5</v>
      </c>
      <c r="J2" s="9">
        <v>0.29166666666666669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33" t="s">
        <v>6</v>
      </c>
      <c r="B3" s="732">
        <v>46204</v>
      </c>
      <c r="C3" s="733"/>
      <c r="D3" s="734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07"/>
      <c r="M4" s="506"/>
      <c r="N4" s="735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329" t="s">
        <v>7</v>
      </c>
      <c r="B5" s="330" t="s">
        <v>8</v>
      </c>
      <c r="C5" s="330" t="s">
        <v>9</v>
      </c>
      <c r="D5" s="330" t="s">
        <v>10</v>
      </c>
      <c r="E5" s="330" t="s">
        <v>11</v>
      </c>
      <c r="F5" s="330" t="s">
        <v>12</v>
      </c>
      <c r="G5" s="330" t="s">
        <v>13</v>
      </c>
      <c r="H5" s="330" t="s">
        <v>14</v>
      </c>
      <c r="I5" s="330" t="s">
        <v>15</v>
      </c>
      <c r="J5" s="330" t="s">
        <v>16</v>
      </c>
      <c r="K5" s="330" t="s">
        <v>17</v>
      </c>
      <c r="L5" s="331" t="s">
        <v>18</v>
      </c>
      <c r="M5" s="394" t="s">
        <v>44</v>
      </c>
      <c r="N5" s="332" t="s">
        <v>12</v>
      </c>
      <c r="O5" s="333" t="s">
        <v>15</v>
      </c>
      <c r="T5" s="55">
        <f>C46</f>
        <v>6.416666666666667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334"/>
      <c r="B6" s="327"/>
      <c r="C6" s="327"/>
      <c r="D6" s="327"/>
      <c r="E6" s="327"/>
      <c r="F6" s="327"/>
      <c r="G6" s="327"/>
      <c r="H6" s="327"/>
      <c r="I6" s="327"/>
      <c r="J6" s="328"/>
      <c r="K6" s="328"/>
      <c r="L6" s="390"/>
      <c r="M6" s="411"/>
      <c r="N6" s="130"/>
      <c r="O6" s="131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261" t="s">
        <v>49</v>
      </c>
      <c r="AA6" s="261" t="s">
        <v>50</v>
      </c>
      <c r="AB6" s="262" t="s">
        <v>51</v>
      </c>
      <c r="AC6" s="104"/>
      <c r="AD6" s="186"/>
    </row>
    <row r="7" spans="1:31" ht="12.75" customHeight="1" thickBot="1" x14ac:dyDescent="0.25">
      <c r="A7" s="587"/>
      <c r="B7" s="597"/>
      <c r="C7" s="597"/>
      <c r="D7" s="597"/>
      <c r="E7" s="597"/>
      <c r="F7" s="597"/>
      <c r="G7" s="597"/>
      <c r="H7" s="597"/>
      <c r="I7" s="597"/>
      <c r="J7" s="589"/>
      <c r="K7" s="589"/>
      <c r="L7" s="590"/>
      <c r="M7" s="412"/>
      <c r="N7" s="219"/>
      <c r="O7" s="212"/>
      <c r="P7" s="420">
        <f>MROUND(L7,"0:15")</f>
        <v>0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1</v>
      </c>
      <c r="R7" s="71"/>
      <c r="S7" s="72"/>
      <c r="T7" s="421">
        <f>T5-L7</f>
        <v>6.416666666666667</v>
      </c>
      <c r="U7" s="74"/>
      <c r="V7" s="76">
        <v>0</v>
      </c>
      <c r="W7" s="192"/>
      <c r="X7" s="701"/>
      <c r="Y7" s="150" t="str">
        <f>IF(O7="O",V7 - AA7,"0:00:00")</f>
        <v>0:00:00</v>
      </c>
      <c r="Z7" s="138" t="str">
        <f>IF(M7="C",P7,"0:00:00")</f>
        <v>0:00:00</v>
      </c>
      <c r="AA7" s="138" t="str">
        <f>IF(P7="M",Q7-P7,"0:00:00")</f>
        <v>0:00:00</v>
      </c>
      <c r="AB7" s="157">
        <f>SUM(Y7:Z7)</f>
        <v>0</v>
      </c>
      <c r="AC7" s="139">
        <v>0</v>
      </c>
      <c r="AD7" s="188"/>
      <c r="AE7" s="256"/>
    </row>
    <row r="8" spans="1:31" ht="12.75" customHeight="1" thickBot="1" x14ac:dyDescent="0.25">
      <c r="A8" s="587"/>
      <c r="B8" s="597"/>
      <c r="C8" s="597"/>
      <c r="D8" s="597"/>
      <c r="E8" s="597"/>
      <c r="F8" s="597"/>
      <c r="G8" s="597"/>
      <c r="H8" s="597"/>
      <c r="I8" s="597"/>
      <c r="J8" s="589"/>
      <c r="K8" s="589"/>
      <c r="L8" s="590"/>
      <c r="M8" s="412"/>
      <c r="N8" s="315"/>
      <c r="O8" s="212"/>
      <c r="P8" s="420">
        <f>MROUND(L8,"0:15")</f>
        <v>0</v>
      </c>
      <c r="Q8" s="95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1</v>
      </c>
      <c r="R8" s="95"/>
      <c r="S8" s="96"/>
      <c r="T8" s="422">
        <f>T7-L8</f>
        <v>6.416666666666667</v>
      </c>
      <c r="U8" s="97"/>
      <c r="V8" s="77">
        <v>0</v>
      </c>
      <c r="W8" s="193"/>
      <c r="X8" s="689"/>
      <c r="Y8" s="142" t="str">
        <f>IF(M8="O",P8 - AA8,"0:00:00")</f>
        <v>0:00:00</v>
      </c>
      <c r="Z8" s="140" t="str">
        <f>IF(M8="C",P8,"0:00:00")</f>
        <v>0:00:00</v>
      </c>
      <c r="AA8" s="140">
        <v>0</v>
      </c>
      <c r="AB8" s="158">
        <f>SUM(Y8:Z8)</f>
        <v>0</v>
      </c>
      <c r="AC8" s="141">
        <v>0</v>
      </c>
      <c r="AD8" s="189"/>
    </row>
    <row r="9" spans="1:31" s="1" customFormat="1" ht="12.75" customHeight="1" thickBot="1" x14ac:dyDescent="0.25">
      <c r="A9" s="601">
        <v>46204</v>
      </c>
      <c r="B9" s="309">
        <v>0.30208333333333331</v>
      </c>
      <c r="C9" s="309">
        <v>0.47291666666666665</v>
      </c>
      <c r="D9" s="309">
        <v>0.48819444444444443</v>
      </c>
      <c r="E9" s="309"/>
      <c r="F9" s="309"/>
      <c r="G9" s="309"/>
      <c r="H9" s="309"/>
      <c r="I9" s="309">
        <v>0.60902777777777783</v>
      </c>
      <c r="J9" s="265">
        <f t="shared" ref="J9:J10" si="0">F9-E9</f>
        <v>0</v>
      </c>
      <c r="K9" s="265">
        <f>IF((D9-C9)&lt;=$F$2,0,(D9-C9)-$F$2)</f>
        <v>1.3888888888888909E-3</v>
      </c>
      <c r="L9" s="319">
        <f>(I9-B9)-K9-(H9-G9)-J9</f>
        <v>0.30555555555555564</v>
      </c>
      <c r="M9" s="413" t="s">
        <v>45</v>
      </c>
      <c r="N9" s="315"/>
      <c r="O9" s="212"/>
      <c r="P9" s="420">
        <f>MROUND(L9,"0:15")</f>
        <v>0.30208333333333331</v>
      </c>
      <c r="Q9" s="8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6</v>
      </c>
      <c r="R9" s="84"/>
      <c r="S9" s="85"/>
      <c r="T9" s="423">
        <f>T8-L9</f>
        <v>6.1111111111111116</v>
      </c>
      <c r="U9" s="366"/>
      <c r="V9" s="182">
        <v>0</v>
      </c>
      <c r="W9" s="194"/>
      <c r="X9" s="689"/>
      <c r="Y9" s="375">
        <f>IF(M9="O",P9 - AA9,"0:00:00")</f>
        <v>0.30208333333333331</v>
      </c>
      <c r="Z9" s="376" t="str">
        <f>IF(M9="C",P9,"0:00:00")</f>
        <v>0:00:00</v>
      </c>
      <c r="AA9" s="367" t="str">
        <f>IF(P9="M",Q9-P9,"0:00:00")</f>
        <v>0:00:00</v>
      </c>
      <c r="AB9" s="368">
        <f>SUM(Y9:Z9)</f>
        <v>0.30208333333333331</v>
      </c>
      <c r="AC9" s="195">
        <v>0</v>
      </c>
      <c r="AD9" s="196" t="b">
        <f>V9=AC9</f>
        <v>1</v>
      </c>
    </row>
    <row r="10" spans="1:31" ht="12.75" customHeight="1" thickBot="1" x14ac:dyDescent="0.25">
      <c r="A10" s="601">
        <v>46205</v>
      </c>
      <c r="B10" s="309">
        <v>0.31180555555555556</v>
      </c>
      <c r="C10" s="309">
        <v>0.4916666666666667</v>
      </c>
      <c r="D10" s="309">
        <v>0.50555555555555554</v>
      </c>
      <c r="E10" s="309"/>
      <c r="F10" s="309"/>
      <c r="G10" s="309"/>
      <c r="H10" s="309"/>
      <c r="I10" s="309">
        <v>0.62222222222222223</v>
      </c>
      <c r="J10" s="265">
        <f t="shared" si="0"/>
        <v>0</v>
      </c>
      <c r="K10" s="265">
        <f>IF((D10-C10)&lt;=$F$2,0,(D10-C10)-$F$2)</f>
        <v>0</v>
      </c>
      <c r="L10" s="319">
        <f>(I10-B10)-K10-(H10-G10)-J10</f>
        <v>0.31041666666666667</v>
      </c>
      <c r="M10" s="413" t="s">
        <v>53</v>
      </c>
      <c r="N10" s="316"/>
      <c r="O10" s="214"/>
      <c r="P10" s="420">
        <f>MROUND(L10,"0:15")</f>
        <v>0.3125</v>
      </c>
      <c r="Q10" s="8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3</v>
      </c>
      <c r="R10" s="84"/>
      <c r="S10" s="85"/>
      <c r="T10" s="423">
        <f>T9-L10</f>
        <v>5.8006944444444448</v>
      </c>
      <c r="U10" s="366"/>
      <c r="V10" s="182">
        <v>0.45833333333333331</v>
      </c>
      <c r="W10" s="194"/>
      <c r="X10" s="689"/>
      <c r="Y10" s="142" t="str">
        <f>IF(M10="O",P10 - AA10,"0:00:00")</f>
        <v>0:00:00</v>
      </c>
      <c r="Z10" s="379">
        <f>IF(M10="C",P10,"0:00:00")</f>
        <v>0.3125</v>
      </c>
      <c r="AA10" s="140" t="str">
        <f>IF(P10="M",Q10-P10,"0:00:00")</f>
        <v>0:00:00</v>
      </c>
      <c r="AB10" s="158">
        <f>SUM(Y10:Z10)</f>
        <v>0.3125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601">
        <v>46206</v>
      </c>
      <c r="B11" s="309">
        <v>0.31527777777777777</v>
      </c>
      <c r="C11" s="309"/>
      <c r="D11" s="309"/>
      <c r="E11" s="309"/>
      <c r="F11" s="309"/>
      <c r="G11" s="309"/>
      <c r="H11" s="309"/>
      <c r="I11" s="309">
        <v>0.63888888888888895</v>
      </c>
      <c r="J11" s="265">
        <v>0</v>
      </c>
      <c r="K11" s="265">
        <f>IF((D11-C11)&lt;=$F$2,0,(D11-C11)-$F$2)</f>
        <v>0</v>
      </c>
      <c r="L11" s="319">
        <f>(I11-B11)-K11-(H11-G11)-J11</f>
        <v>0.32361111111111118</v>
      </c>
      <c r="M11" s="414" t="s">
        <v>53</v>
      </c>
      <c r="N11" s="315"/>
      <c r="O11" s="212"/>
      <c r="P11" s="424">
        <f>MROUND(L11,"0:15")</f>
        <v>0.32291666666666663</v>
      </c>
      <c r="Q11" s="382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4</v>
      </c>
      <c r="R11" s="382"/>
      <c r="S11" s="383"/>
      <c r="T11" s="425">
        <f>T10-L11</f>
        <v>5.4770833333333337</v>
      </c>
      <c r="U11" s="369"/>
      <c r="V11" s="182">
        <v>0.29166666666666669</v>
      </c>
      <c r="W11" s="194">
        <v>45261</v>
      </c>
      <c r="X11" s="702"/>
      <c r="Y11" s="361" t="str">
        <f>IF(M11="O",P11 - AA11,"0:00:00")</f>
        <v>0:00:00</v>
      </c>
      <c r="Z11" s="379">
        <f>IF(M11="C",P11,"0:00:00")</f>
        <v>0.32291666666666663</v>
      </c>
      <c r="AA11" s="143" t="str">
        <f>IF(P11="M",Q11-P11,"0:00:00")</f>
        <v>0:00:00</v>
      </c>
      <c r="AB11" s="159">
        <f>SUM(Y11:Z11)</f>
        <v>0.32291666666666663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0.93958333333333355</v>
      </c>
      <c r="M12" s="396"/>
      <c r="N12" s="128"/>
      <c r="O12" s="129"/>
      <c r="P12" s="706">
        <f>SUM(P7:P11)</f>
        <v>0.93749999999999989</v>
      </c>
      <c r="Q12" s="707"/>
      <c r="R12" s="707"/>
      <c r="S12" s="707"/>
      <c r="T12" s="708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415"/>
      <c r="N13" s="130"/>
      <c r="O13" s="131"/>
      <c r="P13" s="426"/>
      <c r="Q13" s="338">
        <f>Q11</f>
        <v>4</v>
      </c>
      <c r="R13" s="338"/>
      <c r="S13" s="339"/>
      <c r="T13" s="427"/>
      <c r="U13" s="374"/>
      <c r="V13" s="35"/>
      <c r="W13" s="69"/>
      <c r="X13" s="148"/>
      <c r="Y13" s="160"/>
      <c r="Z13" s="161"/>
      <c r="AA13" s="162"/>
      <c r="AB13" s="163"/>
      <c r="AC13" s="146"/>
      <c r="AD13" s="149"/>
    </row>
    <row r="14" spans="1:31" s="1" customFormat="1" ht="12" thickBot="1" x14ac:dyDescent="0.25">
      <c r="A14" s="267">
        <v>46209</v>
      </c>
      <c r="B14" s="309">
        <v>0.30624999999999997</v>
      </c>
      <c r="C14" s="309">
        <v>0.49722222222222223</v>
      </c>
      <c r="D14" s="309">
        <v>0.51180555555555551</v>
      </c>
      <c r="E14" s="266"/>
      <c r="F14" s="266"/>
      <c r="G14" s="266"/>
      <c r="H14" s="266"/>
      <c r="I14" s="309">
        <v>0.60763888888888895</v>
      </c>
      <c r="J14" s="265">
        <f>F14-E14</f>
        <v>0</v>
      </c>
      <c r="K14" s="265">
        <f>IF((D14-C14)&lt;=$F$2,0,(D14-C14)-$F$2)</f>
        <v>6.9444444444439341E-4</v>
      </c>
      <c r="L14" s="319">
        <f>(I14-B14)-K14-(H14-G14)-J14</f>
        <v>0.3006944444444446</v>
      </c>
      <c r="M14" s="412" t="s">
        <v>45</v>
      </c>
      <c r="N14" s="211"/>
      <c r="O14" s="212"/>
      <c r="P14" s="428">
        <f>MROUND(L14,"0:15")</f>
        <v>0.30208333333333331</v>
      </c>
      <c r="Q14" s="201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2</v>
      </c>
      <c r="R14" s="201"/>
      <c r="S14" s="202"/>
      <c r="T14" s="429">
        <f>T11-L14</f>
        <v>5.1763888888888889</v>
      </c>
      <c r="U14" s="370"/>
      <c r="V14" s="205">
        <v>0.30208333333333331</v>
      </c>
      <c r="W14" s="204">
        <v>45264</v>
      </c>
      <c r="X14" s="682"/>
      <c r="Y14" s="345">
        <f>IF(M14="O",P14 - AA14,"0:00:00")</f>
        <v>0.30208333333333331</v>
      </c>
      <c r="Z14" s="349" t="str">
        <f>IF(M14="C",P14,"0:00:00")</f>
        <v>0:00:00</v>
      </c>
      <c r="AA14" s="138" t="str">
        <f>IF(P14="M",Q14-P14,"0:00:00")</f>
        <v>0:00:00</v>
      </c>
      <c r="AB14" s="157">
        <f>SUM(Y14:Z14)</f>
        <v>0.30208333333333331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267">
        <v>46210</v>
      </c>
      <c r="B15" s="309">
        <v>0.3527777777777778</v>
      </c>
      <c r="C15" s="309">
        <v>0.50416666666666665</v>
      </c>
      <c r="D15" s="309">
        <v>0.51527777777777783</v>
      </c>
      <c r="E15" s="266"/>
      <c r="F15" s="266"/>
      <c r="G15" s="266"/>
      <c r="H15" s="266"/>
      <c r="I15" s="309">
        <v>0.63402777777777775</v>
      </c>
      <c r="J15" s="265">
        <f t="shared" ref="J15:J17" si="1">F15-E15</f>
        <v>0</v>
      </c>
      <c r="K15" s="265">
        <f>IF((D15-C15)&lt;=$F$2,0,(D15-C15)-$F$2)</f>
        <v>0</v>
      </c>
      <c r="L15" s="319">
        <f>(I15-B15)-K15-(H15-G15)-J15</f>
        <v>0.28124999999999994</v>
      </c>
      <c r="M15" s="412" t="s">
        <v>53</v>
      </c>
      <c r="N15" s="211"/>
      <c r="O15" s="212"/>
      <c r="P15" s="428">
        <f>MROUND(L15,"0:15")</f>
        <v>0.28125</v>
      </c>
      <c r="Q15" s="8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2</v>
      </c>
      <c r="R15" s="84"/>
      <c r="S15" s="85"/>
      <c r="T15" s="423">
        <f>T14-L15</f>
        <v>4.8951388888888889</v>
      </c>
      <c r="U15" s="366"/>
      <c r="V15" s="206">
        <v>0.25</v>
      </c>
      <c r="W15" s="204">
        <v>45265</v>
      </c>
      <c r="X15" s="682"/>
      <c r="Y15" s="361" t="str">
        <f>IF(M15="O",P15 - AA15,"0:00:00")</f>
        <v>0:00:00</v>
      </c>
      <c r="Z15" s="152">
        <f>IF(M15="C",P15,"0:00:00")</f>
        <v>0.28125</v>
      </c>
      <c r="AA15" s="152" t="str">
        <f>IF(P15="M",Q15-P15,"0:00:00")</f>
        <v>0:00:00</v>
      </c>
      <c r="AB15" s="164">
        <f>SUM(Y15:Z15)</f>
        <v>0.28125</v>
      </c>
      <c r="AC15" s="107">
        <v>0.25</v>
      </c>
      <c r="AD15" s="189" t="b">
        <f>V15=AC15</f>
        <v>1</v>
      </c>
    </row>
    <row r="16" spans="1:31" s="1" customFormat="1" ht="12.75" customHeight="1" thickBot="1" x14ac:dyDescent="0.25">
      <c r="A16" s="267">
        <v>46211</v>
      </c>
      <c r="B16" s="309">
        <v>0.36736111111111108</v>
      </c>
      <c r="C16" s="309">
        <v>0.48888888888888887</v>
      </c>
      <c r="D16" s="309">
        <v>0.50138888888888888</v>
      </c>
      <c r="E16" s="266"/>
      <c r="F16" s="266"/>
      <c r="G16" s="266"/>
      <c r="H16" s="266"/>
      <c r="I16" s="309">
        <v>0.6694444444444444</v>
      </c>
      <c r="J16" s="265">
        <f t="shared" si="1"/>
        <v>0</v>
      </c>
      <c r="K16" s="265">
        <f>IF((D16-C16)&lt;=$F$2,0,(D16-C16)-$F$2)</f>
        <v>0</v>
      </c>
      <c r="L16" s="319">
        <f>(I16-B16)-K16-(H16-G16)-J16</f>
        <v>0.30208333333333331</v>
      </c>
      <c r="M16" s="412" t="s">
        <v>45</v>
      </c>
      <c r="N16" s="211"/>
      <c r="O16" s="212"/>
      <c r="P16" s="430">
        <f>MROUND(L16,"0:15")</f>
        <v>0.30208333333333331</v>
      </c>
      <c r="Q16" s="95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2</v>
      </c>
      <c r="R16" s="95"/>
      <c r="S16" s="96"/>
      <c r="T16" s="431">
        <f>T15-P16</f>
        <v>4.5930555555555559</v>
      </c>
      <c r="U16" s="97"/>
      <c r="V16" s="206">
        <v>0.23958333333333334</v>
      </c>
      <c r="W16" s="204">
        <v>45266</v>
      </c>
      <c r="X16" s="682"/>
      <c r="Y16" s="361">
        <f>IF(M16="O",P16 - AA16,"0:00:00")</f>
        <v>0.30208333333333331</v>
      </c>
      <c r="Z16" s="152" t="str">
        <f>IF(M16="C",P16,"0:00:00")</f>
        <v>0:00:00</v>
      </c>
      <c r="AA16" s="152" t="str">
        <f>IF(P16="M",Q16-P16,"0:00:00")</f>
        <v>0:00:00</v>
      </c>
      <c r="AB16" s="152">
        <f>SUM(Y16:Z16)</f>
        <v>0.30208333333333331</v>
      </c>
      <c r="AC16" s="107">
        <v>0.23958333333333334</v>
      </c>
      <c r="AD16" s="189" t="b">
        <f>V16=AC16</f>
        <v>1</v>
      </c>
    </row>
    <row r="17" spans="1:30" ht="12.75" customHeight="1" thickBot="1" x14ac:dyDescent="0.25">
      <c r="A17" s="267">
        <v>46212</v>
      </c>
      <c r="B17" s="309">
        <v>0.34027777777777773</v>
      </c>
      <c r="C17" s="309">
        <v>0.54236111111111118</v>
      </c>
      <c r="D17" s="309">
        <v>0.55625000000000002</v>
      </c>
      <c r="E17" s="266"/>
      <c r="F17" s="266"/>
      <c r="G17" s="266"/>
      <c r="H17" s="266"/>
      <c r="I17" s="309">
        <v>0.62083333333333335</v>
      </c>
      <c r="J17" s="265">
        <f t="shared" si="1"/>
        <v>0</v>
      </c>
      <c r="K17" s="265">
        <f>IF((D17-C17)&lt;=$F$2,0,(D17-C17)-$F$2)</f>
        <v>0</v>
      </c>
      <c r="L17" s="319">
        <f>(I17-B17)-K17-(H17-G17)-J17</f>
        <v>0.28055555555555561</v>
      </c>
      <c r="M17" s="413" t="s">
        <v>53</v>
      </c>
      <c r="N17" s="213"/>
      <c r="O17" s="214"/>
      <c r="P17" s="428">
        <f>MROUND(L17,"0:15")</f>
        <v>0.28125</v>
      </c>
      <c r="Q17" s="8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1</v>
      </c>
      <c r="R17" s="84"/>
      <c r="S17" s="85"/>
      <c r="T17" s="432">
        <f>T16-P17</f>
        <v>4.3118055555555559</v>
      </c>
      <c r="U17" s="366"/>
      <c r="V17" s="206">
        <v>0</v>
      </c>
      <c r="W17" s="204">
        <v>45267</v>
      </c>
      <c r="X17" s="682"/>
      <c r="Y17" s="361" t="str">
        <f>IF(M17="O",P17 - AA17,"0:00:00")</f>
        <v>0:00:00</v>
      </c>
      <c r="Z17" s="152">
        <f>IF(M17="C",P17,"0:00:00")</f>
        <v>0.28125</v>
      </c>
      <c r="AA17" s="140" t="str">
        <f>IF(P17="M",Q17-P17,"0:00:00")</f>
        <v>0:00:00</v>
      </c>
      <c r="AB17" s="140">
        <f>SUM(Y17:Z17)</f>
        <v>0.28125</v>
      </c>
      <c r="AC17" s="195">
        <v>0</v>
      </c>
      <c r="AD17" s="196" t="b">
        <f>V17=AC17</f>
        <v>1</v>
      </c>
    </row>
    <row r="18" spans="1:30" ht="13.5" thickBot="1" x14ac:dyDescent="0.25">
      <c r="A18" s="311">
        <v>46213</v>
      </c>
      <c r="B18" s="312"/>
      <c r="C18" s="312"/>
      <c r="D18" s="312"/>
      <c r="E18" s="312"/>
      <c r="F18" s="312"/>
      <c r="G18" s="312"/>
      <c r="H18" s="312"/>
      <c r="I18" s="312"/>
      <c r="J18" s="676">
        <v>0</v>
      </c>
      <c r="K18" s="676">
        <f>IF((D18-C18)&lt;=$F$2,0,(D18-C18)-$F$2)</f>
        <v>0</v>
      </c>
      <c r="L18" s="677">
        <f>(I18-B18)-K18-(H18-G18)-J18</f>
        <v>0</v>
      </c>
      <c r="M18" s="412" t="s">
        <v>53</v>
      </c>
      <c r="N18" s="211"/>
      <c r="O18" s="212"/>
      <c r="P18" s="428">
        <f>MROUND(L18,"0:15")</f>
        <v>0</v>
      </c>
      <c r="Q18" s="199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1</v>
      </c>
      <c r="R18" s="199"/>
      <c r="S18" s="200"/>
      <c r="T18" s="433">
        <f>T17-L18</f>
        <v>4.3118055555555559</v>
      </c>
      <c r="U18" s="358"/>
      <c r="V18" s="207">
        <v>0</v>
      </c>
      <c r="W18" s="204">
        <v>45268</v>
      </c>
      <c r="X18" s="682"/>
      <c r="Y18" s="361" t="str">
        <f>IF(M18="O",P18 - AA18,"0:00:00")</f>
        <v>0:00:00</v>
      </c>
      <c r="Z18" s="152">
        <f>IF(M18="C",P18,"0:00:00")</f>
        <v>0</v>
      </c>
      <c r="AA18" s="143" t="str">
        <f>IF(P18="M",Q18-P18,"0:00:00")</f>
        <v>0:00:00</v>
      </c>
      <c r="AB18" s="159">
        <f>SUM(Y18:Z18)</f>
        <v>0</v>
      </c>
      <c r="AC18" s="108">
        <v>0</v>
      </c>
      <c r="AD18" s="190" t="b">
        <f>V18=AC18</f>
        <v>1</v>
      </c>
    </row>
    <row r="19" spans="1:30" ht="16.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659"/>
      <c r="J19" s="246"/>
      <c r="K19" s="247"/>
      <c r="L19" s="391">
        <f>SUM(L14:L18)</f>
        <v>1.1645833333333335</v>
      </c>
      <c r="M19" s="396"/>
      <c r="N19" s="122"/>
      <c r="O19" s="123"/>
      <c r="P19" s="706">
        <f>SUM(P14:P18)</f>
        <v>1.1666666666666665</v>
      </c>
      <c r="Q19" s="707"/>
      <c r="R19" s="707"/>
      <c r="S19" s="707"/>
      <c r="T19" s="708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398"/>
      <c r="N20" s="130"/>
      <c r="O20" s="131"/>
      <c r="P20" s="434"/>
      <c r="Q20" s="341">
        <f>Q18</f>
        <v>1</v>
      </c>
      <c r="R20" s="341"/>
      <c r="S20" s="342"/>
      <c r="T20" s="435"/>
      <c r="U20" s="385"/>
      <c r="V20" s="35"/>
      <c r="W20" s="79"/>
      <c r="X20" s="148"/>
      <c r="Y20" s="160"/>
      <c r="Z20" s="161"/>
      <c r="AA20" s="162"/>
      <c r="AB20" s="163"/>
      <c r="AC20" s="146"/>
      <c r="AD20" s="149"/>
    </row>
    <row r="21" spans="1:30" ht="12.75" customHeight="1" thickBot="1" x14ac:dyDescent="0.25">
      <c r="A21" s="267">
        <v>46216</v>
      </c>
      <c r="B21" s="309">
        <v>0.3034722222222222</v>
      </c>
      <c r="C21" s="266"/>
      <c r="D21" s="266"/>
      <c r="E21" s="266"/>
      <c r="F21" s="266"/>
      <c r="G21" s="266"/>
      <c r="H21" s="266"/>
      <c r="I21" s="309">
        <v>0.59513888888888888</v>
      </c>
      <c r="J21" s="265">
        <f>F21-E21</f>
        <v>0</v>
      </c>
      <c r="K21" s="260">
        <f>IF((D21-C21)&lt;=$F$2,0,(D21-C21)-$F$2)</f>
        <v>0</v>
      </c>
      <c r="L21" s="409">
        <f>(I21-B21)-K21-(H21-G21)-J21</f>
        <v>0.29166666666666669</v>
      </c>
      <c r="M21" s="413" t="s">
        <v>45</v>
      </c>
      <c r="N21" s="211"/>
      <c r="O21" s="212"/>
      <c r="P21" s="428">
        <f>MROUND(L21,"0:15")</f>
        <v>0.29166666666666663</v>
      </c>
      <c r="Q21" s="98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1</v>
      </c>
      <c r="R21" s="98"/>
      <c r="S21" s="99"/>
      <c r="T21" s="436">
        <f>T18-L21</f>
        <v>4.0201388888888889</v>
      </c>
      <c r="U21" s="100"/>
      <c r="V21" s="205">
        <v>0.36458333333333331</v>
      </c>
      <c r="W21" s="192">
        <v>45271</v>
      </c>
      <c r="X21" s="682"/>
      <c r="Y21" s="150">
        <f>IF(M21="O",P21 - AA21,"0:00:00")</f>
        <v>0.29166666666666663</v>
      </c>
      <c r="Z21" s="138" t="str">
        <f>IF(M21="C",P21,"0:00:00")</f>
        <v>0:00:00</v>
      </c>
      <c r="AA21" s="138" t="str">
        <f>IF(P21="M",Q21-P21,"0:00:00")</f>
        <v>0:00:00</v>
      </c>
      <c r="AB21" s="157">
        <f>SUM(Y21:Z21)</f>
        <v>0.29166666666666663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67">
        <v>46217</v>
      </c>
      <c r="B22" s="309">
        <v>0.3347222222222222</v>
      </c>
      <c r="C22" s="309">
        <v>0.54027777777777775</v>
      </c>
      <c r="D22" s="309">
        <v>0.5541666666666667</v>
      </c>
      <c r="E22" s="266"/>
      <c r="F22" s="266"/>
      <c r="G22" s="266"/>
      <c r="H22" s="266"/>
      <c r="I22" s="309">
        <v>0.64097222222222217</v>
      </c>
      <c r="J22" s="265">
        <f t="shared" ref="J22:J24" si="2">F22-E22</f>
        <v>0</v>
      </c>
      <c r="K22" s="260">
        <f>IF((D22-C22)&lt;=$F$2,0,(D22-C22)-$F$2)</f>
        <v>6.2450045135165055E-17</v>
      </c>
      <c r="L22" s="409">
        <f>(I22-B22)-K22-(H22-G22)-J22</f>
        <v>0.30624999999999991</v>
      </c>
      <c r="M22" s="412" t="s">
        <v>53</v>
      </c>
      <c r="N22" s="211"/>
      <c r="O22" s="212"/>
      <c r="P22" s="428">
        <f>MROUND(L22,"0:15")</f>
        <v>0.30208333333333331</v>
      </c>
      <c r="Q22" s="95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7</v>
      </c>
      <c r="R22" s="95"/>
      <c r="S22" s="96"/>
      <c r="T22" s="422">
        <f>T21-L22</f>
        <v>3.713888888888889</v>
      </c>
      <c r="U22" s="97"/>
      <c r="V22" s="206">
        <v>0.36458333333333331</v>
      </c>
      <c r="W22" s="192">
        <v>45272</v>
      </c>
      <c r="X22" s="682"/>
      <c r="Y22" s="343" t="str">
        <f>IF(M22="O",P22 - AA22,"0:00:00")</f>
        <v>0:00:00</v>
      </c>
      <c r="Z22" s="344">
        <f>IF(M22="C",P22,"0:00:00")</f>
        <v>0.30208333333333331</v>
      </c>
      <c r="AA22" s="140" t="str">
        <f>IF(P22="M",Q22-P22,"0:00:00")</f>
        <v>0:00:00</v>
      </c>
      <c r="AB22" s="158">
        <f>SUM(Y22:Z22)</f>
        <v>0.30208333333333331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67">
        <v>46218</v>
      </c>
      <c r="B23" s="309">
        <v>0.30416666666666664</v>
      </c>
      <c r="C23" s="309">
        <v>0.4826388888888889</v>
      </c>
      <c r="D23" s="309">
        <v>0.49652777777777773</v>
      </c>
      <c r="E23" s="266"/>
      <c r="F23" s="266"/>
      <c r="G23" s="266"/>
      <c r="H23" s="266"/>
      <c r="I23" s="309">
        <v>0.61319444444444449</v>
      </c>
      <c r="J23" s="265">
        <f t="shared" si="2"/>
        <v>0</v>
      </c>
      <c r="K23" s="260">
        <f>IF((D23-C23)&lt;=$F$2,0,(D23-C23)-$F$2)</f>
        <v>0</v>
      </c>
      <c r="L23" s="409">
        <f>(I23-B23)-K23-(H23-G23)-J23</f>
        <v>0.30902777777777785</v>
      </c>
      <c r="M23" s="413" t="s">
        <v>45</v>
      </c>
      <c r="N23" s="211"/>
      <c r="O23" s="212"/>
      <c r="P23" s="428">
        <f>MROUND(L23,"0:15")</f>
        <v>0.3125</v>
      </c>
      <c r="Q23" s="95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2</v>
      </c>
      <c r="R23" s="95"/>
      <c r="S23" s="96"/>
      <c r="T23" s="422">
        <f>T22-L23</f>
        <v>3.4048611111111113</v>
      </c>
      <c r="U23" s="97"/>
      <c r="V23" s="206">
        <v>0.45833333333333331</v>
      </c>
      <c r="W23" s="192">
        <v>45273</v>
      </c>
      <c r="X23" s="682"/>
      <c r="Y23" s="343">
        <f>IF(M23="O",P23 - AA23,"0:00:00")</f>
        <v>0.3125</v>
      </c>
      <c r="Z23" s="344" t="str">
        <f>IF(M23="C",P23,"0:00:00")</f>
        <v>0:00:00</v>
      </c>
      <c r="AA23" s="140" t="str">
        <f>IF(P23="M",Q23-P23,"0:00:00")</f>
        <v>0:00:00</v>
      </c>
      <c r="AB23" s="158">
        <f>SUM(Y23:Z23)</f>
        <v>0.3125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67">
        <v>46219</v>
      </c>
      <c r="B24" s="309">
        <v>0.30138888888888887</v>
      </c>
      <c r="C24" s="309">
        <v>0.49374999999999997</v>
      </c>
      <c r="D24" s="309">
        <v>0.50763888888888886</v>
      </c>
      <c r="E24" s="309"/>
      <c r="F24" s="309"/>
      <c r="G24" s="309"/>
      <c r="H24" s="309"/>
      <c r="I24" s="309">
        <v>0.62361111111111112</v>
      </c>
      <c r="J24" s="265">
        <f t="shared" si="2"/>
        <v>0</v>
      </c>
      <c r="K24" s="260">
        <f>IF((D24-C24)&lt;=$F$2,0,(D24-C24)-$F$2)</f>
        <v>0</v>
      </c>
      <c r="L24" s="409">
        <f>(I24-B24)-K24-(H24-G24)-J24</f>
        <v>0.32222222222222224</v>
      </c>
      <c r="M24" s="414" t="s">
        <v>45</v>
      </c>
      <c r="N24" s="213"/>
      <c r="O24" s="214"/>
      <c r="P24" s="428">
        <f>MROUND(L24,"0:15")</f>
        <v>0.32291666666666663</v>
      </c>
      <c r="Q24" s="249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1</v>
      </c>
      <c r="R24" s="249"/>
      <c r="S24" s="250"/>
      <c r="T24" s="437">
        <f>T23-L24</f>
        <v>3.0826388888888889</v>
      </c>
      <c r="U24" s="372"/>
      <c r="V24" s="182">
        <v>0.32291666666666669</v>
      </c>
      <c r="W24" s="192">
        <v>45274</v>
      </c>
      <c r="X24" s="682"/>
      <c r="Y24" s="343">
        <f>IF(M24="O",P24 - AA24,"0:00:00")</f>
        <v>0.32291666666666663</v>
      </c>
      <c r="Z24" s="344" t="str">
        <f>IF(M24="C",P24,"0:00:00")</f>
        <v>0:00:00</v>
      </c>
      <c r="AA24" s="140" t="str">
        <f>IF(P24="M",Q24-P24,"0:00:00")</f>
        <v>0:00:00</v>
      </c>
      <c r="AB24" s="158">
        <f>SUM(Y24:Z24)</f>
        <v>0.32291666666666663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267">
        <v>46220</v>
      </c>
      <c r="B25" s="309">
        <v>0.3527777777777778</v>
      </c>
      <c r="C25" s="266"/>
      <c r="D25" s="266"/>
      <c r="E25" s="266"/>
      <c r="F25" s="266"/>
      <c r="G25" s="266"/>
      <c r="H25" s="266"/>
      <c r="I25" s="309">
        <v>0.66527777777777775</v>
      </c>
      <c r="J25" s="260">
        <v>0</v>
      </c>
      <c r="K25" s="260">
        <f>IF((D25-C25)&lt;=$F$2,0,(D25-C25)-$F$2)</f>
        <v>0</v>
      </c>
      <c r="L25" s="409">
        <f>(I25-B25)-K25-(H25-G25)-J25</f>
        <v>0.31249999999999994</v>
      </c>
      <c r="M25" s="416" t="s">
        <v>53</v>
      </c>
      <c r="N25" s="211"/>
      <c r="O25" s="212"/>
      <c r="P25" s="428">
        <f>MROUND(L25,"0:15")</f>
        <v>0.3125</v>
      </c>
      <c r="Q25" s="251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1</v>
      </c>
      <c r="R25" s="251"/>
      <c r="S25" s="252"/>
      <c r="T25" s="438">
        <f>T24-L25</f>
        <v>2.7701388888888889</v>
      </c>
      <c r="U25" s="373"/>
      <c r="V25" s="182">
        <v>0.36458333333333331</v>
      </c>
      <c r="W25" s="192">
        <v>45275</v>
      </c>
      <c r="X25" s="682"/>
      <c r="Y25" s="364" t="str">
        <f>IF(M25="O",P25 - AA25,"0:00:00")</f>
        <v>0:00:00</v>
      </c>
      <c r="Z25" s="365">
        <f>IF(M25="C",P25,"0:00:00")</f>
        <v>0.3125</v>
      </c>
      <c r="AA25" s="143" t="str">
        <f>IF(P25="M",Q25-P25,"0:00:00")</f>
        <v>0:00:00</v>
      </c>
      <c r="AB25" s="159">
        <f>SUM(Y25:Z25)</f>
        <v>0.3125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1.5416666666666667</v>
      </c>
      <c r="M26" s="396"/>
      <c r="N26" s="128"/>
      <c r="O26" s="129"/>
      <c r="P26" s="706">
        <f>SUM(P21:P25)</f>
        <v>1.5416666666666665</v>
      </c>
      <c r="Q26" s="707"/>
      <c r="R26" s="707"/>
      <c r="S26" s="707"/>
      <c r="T26" s="708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417"/>
      <c r="N27" s="130"/>
      <c r="O27" s="131"/>
      <c r="P27" s="426"/>
      <c r="Q27" s="338">
        <f>Q25</f>
        <v>1</v>
      </c>
      <c r="R27" s="338"/>
      <c r="S27" s="339"/>
      <c r="T27" s="427"/>
      <c r="U27" s="374"/>
      <c r="V27" s="35"/>
      <c r="W27" s="81"/>
      <c r="X27" s="148"/>
      <c r="Y27" s="160"/>
      <c r="Z27" s="161"/>
      <c r="AA27" s="162"/>
      <c r="AB27" s="163"/>
      <c r="AC27" s="146"/>
      <c r="AD27" s="149"/>
    </row>
    <row r="28" spans="1:30" ht="15.75" customHeight="1" thickBot="1" x14ac:dyDescent="0.25">
      <c r="A28" s="267">
        <v>46223</v>
      </c>
      <c r="B28" s="309">
        <v>0.35555555555555557</v>
      </c>
      <c r="C28" s="309">
        <v>0.50555555555555554</v>
      </c>
      <c r="D28" s="309">
        <v>0.51944444444444449</v>
      </c>
      <c r="E28" s="266"/>
      <c r="F28" s="266"/>
      <c r="G28" s="266"/>
      <c r="H28" s="266"/>
      <c r="I28" s="309">
        <v>0.64722222222222225</v>
      </c>
      <c r="J28" s="309">
        <f>F28-E28</f>
        <v>0</v>
      </c>
      <c r="K28" s="309">
        <f>IF((D28-C28)&lt;=$F$2,0,(D28-C28)-$F$2)</f>
        <v>6.2450045135165055E-17</v>
      </c>
      <c r="L28" s="410">
        <f>(I28-B28)-K28-(H28-G28)-J28</f>
        <v>0.29166666666666663</v>
      </c>
      <c r="M28" s="413" t="s">
        <v>45</v>
      </c>
      <c r="N28" s="211"/>
      <c r="O28" s="212"/>
      <c r="P28" s="428">
        <f>MROUND(L28,"0:15")</f>
        <v>0.29166666666666663</v>
      </c>
      <c r="Q28" s="98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1</v>
      </c>
      <c r="R28" s="98"/>
      <c r="S28" s="99"/>
      <c r="T28" s="436">
        <f>T25-L28</f>
        <v>2.4784722222222224</v>
      </c>
      <c r="U28" s="100"/>
      <c r="V28" s="205">
        <v>0.30208333333333331</v>
      </c>
      <c r="W28" s="192">
        <v>45278</v>
      </c>
      <c r="X28" s="682"/>
      <c r="Y28" s="345">
        <f>IF(M28="O",P28 - AA28,"0:00:00")</f>
        <v>0.29166666666666663</v>
      </c>
      <c r="Z28" s="349" t="str">
        <f>IF(M28="C",P28,"0:00:00")</f>
        <v>0:00:00</v>
      </c>
      <c r="AA28" s="138" t="str">
        <f>IF(P28="M",Q28-P28,"0:00:00")</f>
        <v>0:00:00</v>
      </c>
      <c r="AB28" s="157">
        <f>SUM(Y28:Z28)</f>
        <v>0.29166666666666663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267">
        <v>46224</v>
      </c>
      <c r="B29" s="309">
        <v>0.36319444444444443</v>
      </c>
      <c r="C29" s="309">
        <v>0.53333333333333333</v>
      </c>
      <c r="D29" s="309">
        <v>0.54722222222222217</v>
      </c>
      <c r="E29" s="266"/>
      <c r="F29" s="266"/>
      <c r="G29" s="266"/>
      <c r="H29" s="266"/>
      <c r="I29" s="309">
        <v>0.61388888888888882</v>
      </c>
      <c r="J29" s="309">
        <f t="shared" ref="J29:J31" si="3">F29-E29</f>
        <v>0</v>
      </c>
      <c r="K29" s="309">
        <f>IF((D29-C29)&lt;=$F$2,0,(D29-C29)-$F$2)</f>
        <v>0</v>
      </c>
      <c r="L29" s="410">
        <f>(I29-B29)-K29-(H29-G29)-J29</f>
        <v>0.25069444444444439</v>
      </c>
      <c r="M29" s="412" t="s">
        <v>53</v>
      </c>
      <c r="N29" s="211"/>
      <c r="O29" s="212"/>
      <c r="P29" s="428">
        <f>MROUND(L29,"0:15")</f>
        <v>0.25</v>
      </c>
      <c r="Q29" s="95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2</v>
      </c>
      <c r="R29" s="95"/>
      <c r="S29" s="96"/>
      <c r="T29" s="422">
        <f>T28-L29</f>
        <v>2.2277777777777779</v>
      </c>
      <c r="U29" s="97"/>
      <c r="V29" s="206">
        <v>0</v>
      </c>
      <c r="W29" s="192">
        <v>45279</v>
      </c>
      <c r="X29" s="682"/>
      <c r="Y29" s="361" t="str">
        <f>IF(M29="O",P29 - AA29,"0:00:00")</f>
        <v>0:00:00</v>
      </c>
      <c r="Z29" s="152">
        <f>IF(M29="C",P29,"0:00:00")</f>
        <v>0.25</v>
      </c>
      <c r="AA29" s="140" t="str">
        <f>IF(P29="M",Q29-P29,"0:00:00")</f>
        <v>0:00:00</v>
      </c>
      <c r="AB29" s="158">
        <f>SUM(Y29:Z29)</f>
        <v>0.25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267">
        <v>46225</v>
      </c>
      <c r="B30" s="309">
        <v>0.31527777777777777</v>
      </c>
      <c r="C30" s="309">
        <v>0.50763888888888886</v>
      </c>
      <c r="D30" s="309">
        <v>0.51736111111111105</v>
      </c>
      <c r="E30" s="309"/>
      <c r="F30" s="309"/>
      <c r="G30" s="309"/>
      <c r="H30" s="309"/>
      <c r="I30" s="309">
        <v>0.62638888888888888</v>
      </c>
      <c r="J30" s="309">
        <f t="shared" si="3"/>
        <v>0</v>
      </c>
      <c r="K30" s="309">
        <f>IF((D30-C30)&lt;=$F$2,0,(D30-C30)-$F$2)</f>
        <v>0</v>
      </c>
      <c r="L30" s="410">
        <f>(I30-B30)-K30-(H30-G30)-J30</f>
        <v>0.31111111111111112</v>
      </c>
      <c r="M30" s="412" t="s">
        <v>45</v>
      </c>
      <c r="N30" s="211"/>
      <c r="O30" s="212"/>
      <c r="P30" s="428">
        <f>MROUND(L30,"0:15")</f>
        <v>0.3125</v>
      </c>
      <c r="Q30" s="95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0</v>
      </c>
      <c r="R30" s="95"/>
      <c r="S30" s="96"/>
      <c r="T30" s="422">
        <f>T29-L30</f>
        <v>1.9166666666666667</v>
      </c>
      <c r="U30" s="97"/>
      <c r="V30" s="206">
        <v>0.35416666666666669</v>
      </c>
      <c r="W30" s="192">
        <v>45280</v>
      </c>
      <c r="X30" s="682"/>
      <c r="Y30" s="361">
        <f>IF(M30="O",P30 - AA30,"0:00:00")</f>
        <v>0.3125</v>
      </c>
      <c r="Z30" s="152" t="str">
        <f>IF(M30="C",P30,"0:00:00")</f>
        <v>0:00:00</v>
      </c>
      <c r="AA30" s="140" t="str">
        <f>IF(P30="M",Q30-P30,"0:00:00")</f>
        <v>0:00:00</v>
      </c>
      <c r="AB30" s="158">
        <f>SUM(Y30:Z30)</f>
        <v>0.3125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267">
        <v>46226</v>
      </c>
      <c r="B31" s="309">
        <v>0.33611111111111108</v>
      </c>
      <c r="C31" s="309">
        <v>0.50347222222222221</v>
      </c>
      <c r="D31" s="309">
        <v>0.51736111111111105</v>
      </c>
      <c r="E31" s="266"/>
      <c r="F31" s="266"/>
      <c r="G31" s="266"/>
      <c r="H31" s="266"/>
      <c r="I31" s="309">
        <v>0.65833333333333333</v>
      </c>
      <c r="J31" s="606">
        <f t="shared" si="3"/>
        <v>0</v>
      </c>
      <c r="K31" s="606">
        <f>IF((D31-C31)&lt;=$F$2,0,(D31-C31)-$F$2)</f>
        <v>0</v>
      </c>
      <c r="L31" s="607">
        <f>(I31-B31)-K31-(H31-G31)-J31</f>
        <v>0.32222222222222224</v>
      </c>
      <c r="M31" s="413" t="s">
        <v>53</v>
      </c>
      <c r="N31" s="213"/>
      <c r="O31" s="214"/>
      <c r="P31" s="428">
        <f>MROUND(L31,"0:15")</f>
        <v>0.32291666666666663</v>
      </c>
      <c r="Q31" s="95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-1</v>
      </c>
      <c r="R31" s="95"/>
      <c r="S31" s="96"/>
      <c r="T31" s="422">
        <f>T30-L31</f>
        <v>1.5944444444444446</v>
      </c>
      <c r="U31" s="97"/>
      <c r="V31" s="206">
        <v>0.41666666666666669</v>
      </c>
      <c r="W31" s="192">
        <v>45281</v>
      </c>
      <c r="X31" s="682"/>
      <c r="Y31" s="361" t="str">
        <f>IF(M31="O",P31 - AA31,"0:00:00")</f>
        <v>0:00:00</v>
      </c>
      <c r="Z31" s="152">
        <f>IF(M31="C",P31,"0:00:00")</f>
        <v>0.32291666666666663</v>
      </c>
      <c r="AA31" s="140" t="str">
        <f>IF(P31="M",Q31-P31,"0:00:00")</f>
        <v>0:00:00</v>
      </c>
      <c r="AB31" s="158">
        <f>SUM(Y31:Z31)</f>
        <v>0.32291666666666663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267">
        <v>46227</v>
      </c>
      <c r="B32" s="309">
        <v>0.33749999999999997</v>
      </c>
      <c r="C32" s="309">
        <v>0.54166666666666663</v>
      </c>
      <c r="D32" s="309">
        <v>0.55208333333333337</v>
      </c>
      <c r="E32" s="266"/>
      <c r="F32" s="266"/>
      <c r="G32" s="266"/>
      <c r="H32" s="266"/>
      <c r="I32" s="309">
        <v>0.62013888888888891</v>
      </c>
      <c r="J32" s="606">
        <v>0</v>
      </c>
      <c r="K32" s="606">
        <f>IF((D32-C32)&lt;=$F$2,0,(D32-C32)-$F$2)</f>
        <v>0</v>
      </c>
      <c r="L32" s="607">
        <f>(I32-B32)-K32-(H32-G32)-J32</f>
        <v>0.28263888888888894</v>
      </c>
      <c r="M32" s="414" t="s">
        <v>53</v>
      </c>
      <c r="N32" s="211"/>
      <c r="O32" s="212"/>
      <c r="P32" s="428">
        <f>MROUND(L32,"0:15")</f>
        <v>0.28125</v>
      </c>
      <c r="Q32" s="95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1</v>
      </c>
      <c r="R32" s="95"/>
      <c r="S32" s="96"/>
      <c r="T32" s="422">
        <f>T31-L32</f>
        <v>1.3118055555555557</v>
      </c>
      <c r="U32" s="111"/>
      <c r="V32" s="78">
        <v>0.35416666666666669</v>
      </c>
      <c r="W32" s="192">
        <v>45282</v>
      </c>
      <c r="X32" s="682"/>
      <c r="Y32" s="361" t="str">
        <f>IF(M32="O",P32 - AA32,"0:00:00")</f>
        <v>0:00:00</v>
      </c>
      <c r="Z32" s="152">
        <f>IF(M32="C",P32,"0:00:00")</f>
        <v>0.28125</v>
      </c>
      <c r="AA32" s="143" t="str">
        <f>IF(P32="M",Q32-P32,"0:00:00")</f>
        <v>0:00:00</v>
      </c>
      <c r="AB32" s="159">
        <f>SUM(Y32:Z32)</f>
        <v>0.28125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1.4583333333333333</v>
      </c>
      <c r="M33" s="396"/>
      <c r="N33" s="128"/>
      <c r="O33" s="129"/>
      <c r="P33" s="706">
        <f>SUM(P28:P32)</f>
        <v>1.4583333333333333</v>
      </c>
      <c r="Q33" s="707"/>
      <c r="R33" s="707"/>
      <c r="S33" s="707"/>
      <c r="T33" s="708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418"/>
      <c r="N34" s="130"/>
      <c r="O34" s="131"/>
      <c r="P34" s="426"/>
      <c r="Q34" s="377">
        <f>Q32</f>
        <v>1</v>
      </c>
      <c r="R34" s="377"/>
      <c r="S34" s="378"/>
      <c r="T34" s="439"/>
      <c r="U34" s="374"/>
      <c r="V34" s="35"/>
      <c r="W34" s="82"/>
      <c r="X34" s="148"/>
      <c r="Y34" s="160"/>
      <c r="Z34" s="161"/>
      <c r="AA34" s="162"/>
      <c r="AB34" s="163"/>
      <c r="AC34" s="146"/>
      <c r="AD34" s="149"/>
    </row>
    <row r="35" spans="1:30" ht="12.75" customHeight="1" thickBot="1" x14ac:dyDescent="0.25">
      <c r="A35" s="267">
        <v>46230</v>
      </c>
      <c r="B35" s="309">
        <v>0.29722222222222222</v>
      </c>
      <c r="C35" s="309">
        <v>0.50763888888888886</v>
      </c>
      <c r="D35" s="309">
        <v>0.52222222222222225</v>
      </c>
      <c r="E35" s="266"/>
      <c r="F35" s="266"/>
      <c r="G35" s="266"/>
      <c r="H35" s="266"/>
      <c r="I35" s="309">
        <v>0.59097222222222223</v>
      </c>
      <c r="J35" s="309">
        <v>0</v>
      </c>
      <c r="K35" s="309">
        <f>IF((D35-C35)&lt;=$F$2,0,(D35-C35)-$F$2)</f>
        <v>6.9444444444450443E-4</v>
      </c>
      <c r="L35" s="410">
        <f>(I35-B35)-K35-(H35-G35)-J35</f>
        <v>0.29305555555555551</v>
      </c>
      <c r="M35" s="412" t="s">
        <v>45</v>
      </c>
      <c r="N35" s="315"/>
      <c r="O35" s="212"/>
      <c r="P35" s="440">
        <f t="shared" ref="P35:P39" si="4">MROUND(L35,"0:15")</f>
        <v>0.29166666666666663</v>
      </c>
      <c r="Q35" s="98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3</v>
      </c>
      <c r="R35" s="98"/>
      <c r="S35" s="99"/>
      <c r="T35" s="436">
        <f>T32-L35</f>
        <v>1.0187500000000003</v>
      </c>
      <c r="U35" s="100"/>
      <c r="V35" s="151">
        <v>0.33333333333333331</v>
      </c>
      <c r="W35" s="192">
        <v>45285</v>
      </c>
      <c r="X35" s="709"/>
      <c r="Y35" s="345">
        <f>IF(M35="O",P35 - AA35,"0:00:00")</f>
        <v>0.29166666666666663</v>
      </c>
      <c r="Z35" s="349" t="str">
        <f t="shared" ref="Z35:Z39" si="5">IF(M35="C",P35,"0:00:00")</f>
        <v>0:00:00</v>
      </c>
      <c r="AA35" s="138" t="str">
        <f>IF(P35="M",Q35-P35,"0:00:00")</f>
        <v>0:00:00</v>
      </c>
      <c r="AB35" s="157">
        <f>SUM(Y35:Z35)</f>
        <v>0.29166666666666663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267">
        <v>46231</v>
      </c>
      <c r="B36" s="309">
        <v>0.32361111111111113</v>
      </c>
      <c r="C36" s="309">
        <v>0.52083333333333337</v>
      </c>
      <c r="D36" s="309">
        <v>0.53472222222222221</v>
      </c>
      <c r="E36" s="266"/>
      <c r="F36" s="266"/>
      <c r="G36" s="266"/>
      <c r="H36" s="266"/>
      <c r="I36" s="309">
        <v>0.64583333333333337</v>
      </c>
      <c r="J36" s="309">
        <v>0</v>
      </c>
      <c r="K36" s="309">
        <f>IF((D36-C36)&lt;=$F$2,0,(D36-C36)-$F$2)</f>
        <v>0</v>
      </c>
      <c r="L36" s="410">
        <f>(I36-B36)-K36-(H36-G36)-J36</f>
        <v>0.32222222222222224</v>
      </c>
      <c r="M36" s="585" t="s">
        <v>53</v>
      </c>
      <c r="N36" s="315"/>
      <c r="O36" s="212"/>
      <c r="P36" s="440">
        <f t="shared" si="4"/>
        <v>0.32291666666666663</v>
      </c>
      <c r="Q36" s="95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2</v>
      </c>
      <c r="R36" s="95"/>
      <c r="S36" s="96"/>
      <c r="T36" s="422">
        <f>T35-L36</f>
        <v>0.69652777777777808</v>
      </c>
      <c r="U36" s="97"/>
      <c r="V36" s="77">
        <v>0.45833333333333331</v>
      </c>
      <c r="W36" s="192">
        <v>45286</v>
      </c>
      <c r="X36" s="709"/>
      <c r="Y36" s="361" t="str">
        <f>IF(M36="O",P36 - AA36,"0:00:00")</f>
        <v>0:00:00</v>
      </c>
      <c r="Z36" s="152">
        <f t="shared" si="5"/>
        <v>0.32291666666666663</v>
      </c>
      <c r="AA36" s="140" t="str">
        <f>IF(P36="M",Q36-P36,"0:00:00")</f>
        <v>0:00:00</v>
      </c>
      <c r="AB36" s="158">
        <f>SUM(Y36:Z36)</f>
        <v>0.32291666666666663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267">
        <v>46232</v>
      </c>
      <c r="B37" s="309">
        <v>0.3576388888888889</v>
      </c>
      <c r="C37" s="309">
        <v>0.4826388888888889</v>
      </c>
      <c r="D37" s="309">
        <v>0.49513888888888885</v>
      </c>
      <c r="E37" s="266"/>
      <c r="F37" s="266"/>
      <c r="G37" s="266"/>
      <c r="H37" s="266"/>
      <c r="I37" s="309">
        <v>0.68402777777777779</v>
      </c>
      <c r="J37" s="309">
        <v>0</v>
      </c>
      <c r="K37" s="309">
        <f t="shared" ref="K37:K38" si="6">IF((D37-C37)&lt;=$F$2,0,(D37-C37)-$F$2)</f>
        <v>0</v>
      </c>
      <c r="L37" s="410">
        <f>(I37-B37)-K37-(H37-G37)-J37</f>
        <v>0.3263888888888889</v>
      </c>
      <c r="M37" s="585" t="s">
        <v>45</v>
      </c>
      <c r="N37" s="315"/>
      <c r="O37" s="212"/>
      <c r="P37" s="440">
        <f t="shared" si="4"/>
        <v>0.32291666666666663</v>
      </c>
      <c r="Q37" s="95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7</v>
      </c>
      <c r="R37" s="95"/>
      <c r="S37" s="96"/>
      <c r="T37" s="422">
        <f>T36-L37</f>
        <v>0.37013888888888918</v>
      </c>
      <c r="U37" s="97"/>
      <c r="V37" s="77">
        <v>0.33333333333333331</v>
      </c>
      <c r="W37" s="192">
        <v>45287</v>
      </c>
      <c r="X37" s="709"/>
      <c r="Y37" s="361">
        <f>IF(M37="O",P37 - AA37,"0:00:00")</f>
        <v>0.32291666666666663</v>
      </c>
      <c r="Z37" s="152" t="str">
        <f t="shared" si="5"/>
        <v>0:00:00</v>
      </c>
      <c r="AA37" s="140" t="str">
        <f>IF(P37="M",Q37-P37,"0:00:00")</f>
        <v>0:00:00</v>
      </c>
      <c r="AB37" s="158">
        <f>SUM(Y37:Z37)</f>
        <v>0.32291666666666663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267">
        <v>46233</v>
      </c>
      <c r="B38" s="309">
        <v>0.30624999999999997</v>
      </c>
      <c r="C38" s="309">
        <v>0.4513888888888889</v>
      </c>
      <c r="D38" s="309">
        <v>0.46458333333333335</v>
      </c>
      <c r="E38" s="266"/>
      <c r="F38" s="266"/>
      <c r="G38" s="266"/>
      <c r="H38" s="266"/>
      <c r="I38" s="309">
        <v>0.58888888888888891</v>
      </c>
      <c r="J38" s="309">
        <v>0</v>
      </c>
      <c r="K38" s="309">
        <f t="shared" si="6"/>
        <v>0</v>
      </c>
      <c r="L38" s="410">
        <f>(I38-B38)-K38-(H38-G38)-J38</f>
        <v>0.28263888888888894</v>
      </c>
      <c r="M38" s="585" t="s">
        <v>45</v>
      </c>
      <c r="N38" s="316"/>
      <c r="O38" s="214"/>
      <c r="P38" s="440">
        <f t="shared" si="4"/>
        <v>0.28125</v>
      </c>
      <c r="Q38" s="101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-6</v>
      </c>
      <c r="R38" s="101"/>
      <c r="S38" s="102"/>
      <c r="T38" s="442">
        <f>T37-L38</f>
        <v>8.7500000000000244E-2</v>
      </c>
      <c r="U38" s="97"/>
      <c r="V38" s="77">
        <v>0.45833333333333331</v>
      </c>
      <c r="W38" s="192">
        <v>45288</v>
      </c>
      <c r="X38" s="709"/>
      <c r="Y38" s="361">
        <f>IF(M38="O",P38 - AA38,"0:00:00")</f>
        <v>0.28125</v>
      </c>
      <c r="Z38" s="152" t="str">
        <f t="shared" si="5"/>
        <v>0:00:00</v>
      </c>
      <c r="AA38" s="140" t="str">
        <f>IF(P38="M",Q38-P38,"0:00:00")</f>
        <v>0:00:00</v>
      </c>
      <c r="AB38" s="158">
        <f>SUM(Y38:Z38)</f>
        <v>0.28125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267">
        <v>46234</v>
      </c>
      <c r="B39" s="309">
        <v>0.33194444444444443</v>
      </c>
      <c r="C39" s="309">
        <v>0.52847222222222223</v>
      </c>
      <c r="D39" s="309">
        <v>0.54236111111111118</v>
      </c>
      <c r="E39" s="266"/>
      <c r="F39" s="266"/>
      <c r="G39" s="266"/>
      <c r="H39" s="266"/>
      <c r="I39" s="309">
        <v>0.62916666666666665</v>
      </c>
      <c r="J39" s="309">
        <v>0</v>
      </c>
      <c r="K39" s="309">
        <f t="shared" ref="K39" si="7">IF((D39-C39)&lt;=$F$2,0,(D39-C39)-$F$2)</f>
        <v>6.2450045135165055E-17</v>
      </c>
      <c r="L39" s="410">
        <f>(I39-B39)-K39-(H39-G39)-J39</f>
        <v>0.29722222222222217</v>
      </c>
      <c r="M39" s="586" t="s">
        <v>53</v>
      </c>
      <c r="N39" s="315"/>
      <c r="O39" s="212"/>
      <c r="P39" s="440">
        <f t="shared" si="4"/>
        <v>0.30208333333333331</v>
      </c>
      <c r="Q39" s="92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2</v>
      </c>
      <c r="R39" s="92"/>
      <c r="S39" s="93"/>
      <c r="T39" s="443">
        <f>T38-L39</f>
        <v>-0.20972222222222192</v>
      </c>
      <c r="U39" s="94"/>
      <c r="V39" s="78"/>
      <c r="W39" s="192">
        <v>45289</v>
      </c>
      <c r="X39" s="709"/>
      <c r="Y39" s="142" t="str">
        <f>IF(M39="O",P39 - AA39,"0:00:00")</f>
        <v>0:00:00</v>
      </c>
      <c r="Z39" s="140">
        <f t="shared" si="5"/>
        <v>0.30208333333333331</v>
      </c>
      <c r="AA39" s="152" t="str">
        <f>IF(P39="M",Q39-P39,"0:00:00")</f>
        <v>0:00:00</v>
      </c>
      <c r="AB39" s="164">
        <f>SUM(Y39:Z39)</f>
        <v>0.30208333333333331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419">
        <f>SUM(L35:L39)</f>
        <v>1.5215277777777776</v>
      </c>
      <c r="M40" s="406"/>
      <c r="N40" s="132"/>
      <c r="O40" s="133"/>
      <c r="P40" s="444">
        <f>SUM(P35:P39)</f>
        <v>1.5208333333333333</v>
      </c>
      <c r="Q40" s="63"/>
      <c r="R40" s="63"/>
      <c r="S40" s="63"/>
      <c r="T40" s="63"/>
      <c r="U40" s="387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41"/>
      <c r="B42" s="42"/>
      <c r="C42" s="42"/>
      <c r="D42" s="42"/>
      <c r="E42" s="42"/>
      <c r="F42" s="42"/>
      <c r="G42" s="42"/>
      <c r="H42" s="42"/>
      <c r="I42" s="42"/>
      <c r="J42" s="43"/>
      <c r="K42" s="43"/>
      <c r="L42" s="44"/>
      <c r="M42" s="67"/>
      <c r="N42" s="67"/>
      <c r="O42" s="67"/>
      <c r="X42" s="148"/>
      <c r="Y42" s="168">
        <f>SUM(Y7:Y11,Y14:Y18,Y21:Y25,Y28:Y32,Y35:Y39)</f>
        <v>3.3333333333333326</v>
      </c>
      <c r="Z42" s="169">
        <f>SUM(Z7:Z11,Z14:Z18,Z21:Z25,Z28:Z32,Z35:Z39)</f>
        <v>3.2916666666666665</v>
      </c>
      <c r="AA42" s="169">
        <f>SUM(AA7:AA11,AA14:AA18,AA21:AA25,AA28:AA32,AA35:AA39)</f>
        <v>0</v>
      </c>
      <c r="AB42" s="170">
        <f>SUM(AB7:AB11,AB14:AB18,AB21:AB25,AB28:AB32,AB35:AB39)</f>
        <v>6.6250000000000009</v>
      </c>
      <c r="AC42" s="109"/>
      <c r="AD42" s="154"/>
    </row>
    <row r="43" spans="1:30" ht="13.5" thickBot="1" x14ac:dyDescent="0.25">
      <c r="A43" s="46" t="s">
        <v>24</v>
      </c>
      <c r="B43" s="47"/>
      <c r="C43" s="47"/>
      <c r="D43" s="47"/>
      <c r="E43" s="47"/>
      <c r="F43" s="47"/>
      <c r="G43" s="47"/>
      <c r="H43" s="47"/>
      <c r="I43" s="47"/>
      <c r="J43" s="48"/>
      <c r="K43" s="48"/>
      <c r="L43" s="49">
        <f>SUM(L33,L26,L19,L12,L40)</f>
        <v>6.625694444444445</v>
      </c>
      <c r="M43" s="185"/>
      <c r="N43" s="185"/>
      <c r="O43" s="185"/>
      <c r="P43" s="83">
        <f>SUM(P12,P19,P26,P33,P40)</f>
        <v>6.6249999999999991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0.50309191908604955</v>
      </c>
      <c r="Z44" s="155">
        <f>Z42/C47</f>
        <v>0.49680327009747399</v>
      </c>
      <c r="AA44" s="156">
        <f>AA42/C47</f>
        <v>0</v>
      </c>
      <c r="AB44" s="180">
        <f>SUM(Y44:AA44)</f>
        <v>0.99989518918352349</v>
      </c>
    </row>
    <row r="45" spans="1:30" ht="18.75" thickBot="1" x14ac:dyDescent="0.25">
      <c r="A45" s="15"/>
      <c r="B45" s="16"/>
      <c r="C45" s="16"/>
      <c r="D45" s="16"/>
      <c r="E45" s="16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40" t="s">
        <v>25</v>
      </c>
      <c r="B46" s="741"/>
      <c r="C46" s="18">
        <f>J1*J2</f>
        <v>6.416666666666667</v>
      </c>
      <c r="D46" s="18"/>
      <c r="E46" s="18"/>
      <c r="F46" s="19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0"/>
      <c r="B47" s="263" t="s">
        <v>26</v>
      </c>
      <c r="C47" s="22">
        <f>L43</f>
        <v>6.625694444444445</v>
      </c>
      <c r="D47" s="22"/>
      <c r="E47" s="22"/>
      <c r="F47" s="23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0"/>
      <c r="B48" s="263" t="s">
        <v>27</v>
      </c>
      <c r="C48" s="18" t="str">
        <f>IF(C46&gt;C47,C46-C47,"00:00:00")</f>
        <v>00:00:00</v>
      </c>
      <c r="D48" s="22"/>
      <c r="E48" s="22"/>
      <c r="F48" s="24"/>
      <c r="K48" s="35"/>
      <c r="P48" s="215"/>
      <c r="Q48" s="216"/>
      <c r="R48" s="216"/>
      <c r="S48" s="216"/>
      <c r="T48" s="264"/>
      <c r="U48" s="216"/>
    </row>
    <row r="49" spans="1:30" ht="13.5" thickBot="1" x14ac:dyDescent="0.25">
      <c r="A49" s="20"/>
      <c r="B49" s="263" t="s">
        <v>28</v>
      </c>
      <c r="C49" s="18">
        <f>IF(C47&gt;C46,C47-C46,"00:00:00")</f>
        <v>0.20902777777777803</v>
      </c>
      <c r="D49" s="25"/>
      <c r="E49" s="26" t="s">
        <v>29</v>
      </c>
      <c r="F49" s="19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15"/>
      <c r="B50" s="16"/>
      <c r="C50" s="16"/>
      <c r="D50" s="16"/>
      <c r="E50" s="16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0"/>
      <c r="B51" s="263" t="s">
        <v>30</v>
      </c>
      <c r="C51" s="68">
        <v>0</v>
      </c>
      <c r="D51" s="18"/>
      <c r="E51" s="27" t="s">
        <v>31</v>
      </c>
      <c r="F51" s="28" t="str">
        <f>IF(C51&gt;C52,C51-C52,"00:00:00")</f>
        <v>00:00:00</v>
      </c>
    </row>
    <row r="52" spans="1:30" ht="13.5" thickBot="1" x14ac:dyDescent="0.25">
      <c r="A52" s="20"/>
      <c r="B52" s="263" t="s">
        <v>32</v>
      </c>
      <c r="C52" s="68">
        <v>0</v>
      </c>
      <c r="D52" s="18"/>
      <c r="E52" s="27" t="s">
        <v>33</v>
      </c>
      <c r="F52" s="28" t="str">
        <f>IF(C52&gt;C51,C52-C51,"00:00:00")</f>
        <v>00:00:00</v>
      </c>
    </row>
    <row r="53" spans="1:30" ht="13.5" thickBot="1" x14ac:dyDescent="0.25">
      <c r="A53" s="712" t="s">
        <v>34</v>
      </c>
      <c r="B53" s="736"/>
      <c r="C53" s="38">
        <f>Horas!D3-J1</f>
        <v>1</v>
      </c>
      <c r="D53" s="737" t="s">
        <v>35</v>
      </c>
      <c r="E53" s="737"/>
      <c r="F53" s="39">
        <v>0</v>
      </c>
      <c r="P53" s="66"/>
      <c r="Q53" s="2"/>
      <c r="R53" s="2"/>
    </row>
    <row r="54" spans="1:30" ht="13.5" thickBot="1" x14ac:dyDescent="0.25">
      <c r="A54" s="715" t="s">
        <v>36</v>
      </c>
      <c r="B54" s="738"/>
      <c r="C54" s="36">
        <v>0</v>
      </c>
      <c r="D54" s="739" t="s">
        <v>37</v>
      </c>
      <c r="E54" s="739"/>
      <c r="F54" s="37">
        <v>0</v>
      </c>
      <c r="P54" s="66"/>
      <c r="Q54" s="2"/>
      <c r="R54" s="2"/>
    </row>
    <row r="55" spans="1:30" ht="13.5" thickBot="1" x14ac:dyDescent="0.25">
      <c r="A55" s="15"/>
      <c r="B55" s="16"/>
      <c r="C55" s="16"/>
      <c r="D55" s="16"/>
      <c r="E55" s="16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A54:B54"/>
    <mergeCell ref="D54:E54"/>
    <mergeCell ref="A46:B46"/>
    <mergeCell ref="Q46:Q47"/>
    <mergeCell ref="R46:R47"/>
    <mergeCell ref="S46:S47"/>
    <mergeCell ref="T46:T47"/>
    <mergeCell ref="A53:B53"/>
    <mergeCell ref="D53:E53"/>
    <mergeCell ref="P19:T19"/>
    <mergeCell ref="X21:X25"/>
    <mergeCell ref="P26:T26"/>
    <mergeCell ref="X28:X32"/>
    <mergeCell ref="P33:T33"/>
    <mergeCell ref="X35:X39"/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</mergeCells>
  <pageMargins left="0.75" right="0.75" top="1" bottom="1" header="0" footer="0"/>
  <pageSetup paperSize="9" scale="76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AE59"/>
  <sheetViews>
    <sheetView topLeftCell="A16" zoomScaleNormal="100" workbookViewId="0">
      <selection activeCell="I35" sqref="I35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5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31" t="s">
        <v>0</v>
      </c>
      <c r="B1" s="726" t="s">
        <v>38</v>
      </c>
      <c r="C1" s="727"/>
      <c r="D1" s="728"/>
      <c r="E1" s="29" t="s">
        <v>1</v>
      </c>
      <c r="F1" s="10">
        <v>2.0833333333333329E-2</v>
      </c>
      <c r="I1" s="6" t="s">
        <v>2</v>
      </c>
      <c r="J1" s="7">
        <v>9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32" t="s">
        <v>3</v>
      </c>
      <c r="B2" s="729"/>
      <c r="C2" s="730"/>
      <c r="D2" s="731"/>
      <c r="E2" s="30" t="s">
        <v>4</v>
      </c>
      <c r="F2" s="11">
        <v>1.3888888888888888E-2</v>
      </c>
      <c r="I2" s="8" t="s">
        <v>5</v>
      </c>
      <c r="J2" s="9">
        <v>0.29166666666666669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33" t="s">
        <v>6</v>
      </c>
      <c r="B3" s="732">
        <v>46235</v>
      </c>
      <c r="C3" s="733"/>
      <c r="D3" s="734"/>
      <c r="E3" s="86" t="s">
        <v>39</v>
      </c>
      <c r="F3" s="87">
        <v>50</v>
      </c>
      <c r="G3" s="88"/>
      <c r="H3" s="89"/>
      <c r="I3" s="90" t="s">
        <v>40</v>
      </c>
      <c r="J3" s="91">
        <v>0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402"/>
      <c r="N4" s="696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329" t="s">
        <v>7</v>
      </c>
      <c r="B5" s="330" t="s">
        <v>8</v>
      </c>
      <c r="C5" s="330" t="s">
        <v>9</v>
      </c>
      <c r="D5" s="330" t="s">
        <v>10</v>
      </c>
      <c r="E5" s="330" t="s">
        <v>11</v>
      </c>
      <c r="F5" s="330" t="s">
        <v>12</v>
      </c>
      <c r="G5" s="330" t="s">
        <v>13</v>
      </c>
      <c r="H5" s="330" t="s">
        <v>14</v>
      </c>
      <c r="I5" s="330" t="s">
        <v>15</v>
      </c>
      <c r="J5" s="330" t="s">
        <v>16</v>
      </c>
      <c r="K5" s="330" t="s">
        <v>17</v>
      </c>
      <c r="L5" s="331" t="s">
        <v>18</v>
      </c>
      <c r="M5" s="394" t="s">
        <v>44</v>
      </c>
      <c r="N5" s="332" t="s">
        <v>12</v>
      </c>
      <c r="O5" s="333" t="s">
        <v>15</v>
      </c>
      <c r="T5" s="55">
        <f>C46</f>
        <v>2.625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326"/>
      <c r="B6" s="327"/>
      <c r="C6" s="327"/>
      <c r="D6" s="327"/>
      <c r="E6" s="327"/>
      <c r="F6" s="327"/>
      <c r="G6" s="327"/>
      <c r="H6" s="327"/>
      <c r="I6" s="327"/>
      <c r="J6" s="328"/>
      <c r="K6" s="328"/>
      <c r="L6" s="390"/>
      <c r="M6" s="395"/>
      <c r="N6" s="324"/>
      <c r="O6" s="325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261" t="s">
        <v>49</v>
      </c>
      <c r="AA6" s="261" t="s">
        <v>50</v>
      </c>
      <c r="AB6" s="262" t="s">
        <v>51</v>
      </c>
      <c r="AC6" s="104"/>
      <c r="AD6" s="186"/>
    </row>
    <row r="7" spans="1:31" ht="12.75" customHeight="1" thickBot="1" x14ac:dyDescent="0.25">
      <c r="A7" s="267">
        <v>46237</v>
      </c>
      <c r="B7" s="309">
        <v>0.3034722222222222</v>
      </c>
      <c r="C7" s="309">
        <v>0.48194444444444445</v>
      </c>
      <c r="D7" s="309">
        <v>0.49583333333333335</v>
      </c>
      <c r="E7" s="266"/>
      <c r="F7" s="266"/>
      <c r="G7" s="266"/>
      <c r="H7" s="266"/>
      <c r="I7" s="309">
        <v>0.59583333333333333</v>
      </c>
      <c r="J7" s="265">
        <f t="shared" ref="J7:J11" si="0">F7-E7</f>
        <v>0</v>
      </c>
      <c r="K7" s="265">
        <f t="shared" ref="K7:K11" si="1">IF((D7-C7)&lt;=$F$2,0,(D7-C7)-$F$2)</f>
        <v>0</v>
      </c>
      <c r="L7" s="319">
        <f t="shared" ref="L7:L11" si="2">(I7-B7)-K7-(H7-G7)-J7</f>
        <v>0.29236111111111113</v>
      </c>
      <c r="M7" s="604" t="s">
        <v>45</v>
      </c>
      <c r="N7" s="315"/>
      <c r="O7" s="212"/>
      <c r="P7" s="428">
        <f>MROUND(L7,"0:15")</f>
        <v>0.29166666666666663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2</v>
      </c>
      <c r="R7" s="71"/>
      <c r="S7" s="72"/>
      <c r="T7" s="421">
        <f>T5-L7</f>
        <v>2.3326388888888889</v>
      </c>
      <c r="U7" s="74"/>
      <c r="V7" s="76">
        <v>0</v>
      </c>
      <c r="W7" s="192"/>
      <c r="X7" s="701"/>
      <c r="Y7" s="150" t="str">
        <f>IF(O7="O",V7 - AA7,"0:00:00")</f>
        <v>0:00:00</v>
      </c>
      <c r="Z7" s="138" t="str">
        <f>IF(M7="C",P7,"0:00:00")</f>
        <v>0:00:00</v>
      </c>
      <c r="AA7" s="138" t="str">
        <f>IF(P7="M",Q7-P7,"0:00:00")</f>
        <v>0:00:00</v>
      </c>
      <c r="AB7" s="157">
        <f>SUM(Y7:Z7)</f>
        <v>0</v>
      </c>
      <c r="AC7" s="139">
        <v>0</v>
      </c>
      <c r="AD7" s="188"/>
      <c r="AE7" s="256"/>
    </row>
    <row r="8" spans="1:31" ht="12.75" customHeight="1" thickBot="1" x14ac:dyDescent="0.25">
      <c r="A8" s="267">
        <v>46238</v>
      </c>
      <c r="B8" s="309">
        <v>0.33263888888888887</v>
      </c>
      <c r="C8" s="309">
        <v>0.5131944444444444</v>
      </c>
      <c r="D8" s="309">
        <v>0.52708333333333335</v>
      </c>
      <c r="E8" s="266"/>
      <c r="F8" s="266"/>
      <c r="G8" s="266"/>
      <c r="H8" s="266"/>
      <c r="I8" s="309">
        <v>0.63402777777777775</v>
      </c>
      <c r="J8" s="265">
        <f t="shared" si="0"/>
        <v>0</v>
      </c>
      <c r="K8" s="265">
        <f t="shared" si="1"/>
        <v>6.2450045135165055E-17</v>
      </c>
      <c r="L8" s="319">
        <f t="shared" si="2"/>
        <v>0.30138888888888882</v>
      </c>
      <c r="M8" s="604" t="s">
        <v>53</v>
      </c>
      <c r="N8" s="315"/>
      <c r="O8" s="212"/>
      <c r="P8" s="428">
        <f>MROUND(L8,"0:15")</f>
        <v>0.30208333333333331</v>
      </c>
      <c r="Q8" s="95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1</v>
      </c>
      <c r="R8" s="95"/>
      <c r="S8" s="96"/>
      <c r="T8" s="422">
        <f>T7-L8</f>
        <v>2.03125</v>
      </c>
      <c r="U8" s="97"/>
      <c r="V8" s="77">
        <v>0</v>
      </c>
      <c r="W8" s="193"/>
      <c r="X8" s="689"/>
      <c r="Y8" s="142" t="str">
        <f>IF(M8="O",P8 - AA8,"0:00:00")</f>
        <v>0:00:00</v>
      </c>
      <c r="Z8" s="140">
        <f>IF(M8="C",P8,"0:00:00")</f>
        <v>0.30208333333333331</v>
      </c>
      <c r="AA8" s="140">
        <v>0</v>
      </c>
      <c r="AB8" s="158">
        <f>SUM(Y8:Z8)</f>
        <v>0.30208333333333331</v>
      </c>
      <c r="AC8" s="141">
        <v>0</v>
      </c>
      <c r="AD8" s="189"/>
    </row>
    <row r="9" spans="1:31" s="1" customFormat="1" ht="12.75" customHeight="1" thickBot="1" x14ac:dyDescent="0.25">
      <c r="A9" s="267">
        <v>46239</v>
      </c>
      <c r="B9" s="309">
        <v>0.31180555555555556</v>
      </c>
      <c r="C9" s="309">
        <v>0.50069444444444444</v>
      </c>
      <c r="D9" s="309">
        <v>0.5131944444444444</v>
      </c>
      <c r="E9" s="266"/>
      <c r="F9" s="266"/>
      <c r="G9" s="266"/>
      <c r="H9" s="266"/>
      <c r="I9" s="309">
        <v>0.68194444444444446</v>
      </c>
      <c r="J9" s="265">
        <f t="shared" si="0"/>
        <v>0</v>
      </c>
      <c r="K9" s="265">
        <f t="shared" si="1"/>
        <v>0</v>
      </c>
      <c r="L9" s="319">
        <f t="shared" si="2"/>
        <v>0.37013888888888891</v>
      </c>
      <c r="M9" s="604" t="s">
        <v>45</v>
      </c>
      <c r="N9" s="315"/>
      <c r="O9" s="212"/>
      <c r="P9" s="428">
        <f>MROUND(L9,"0:15")</f>
        <v>0.375</v>
      </c>
      <c r="Q9" s="8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-6</v>
      </c>
      <c r="R9" s="84"/>
      <c r="S9" s="85"/>
      <c r="T9" s="423">
        <f>T8-L9</f>
        <v>1.661111111111111</v>
      </c>
      <c r="U9" s="350"/>
      <c r="V9" s="182">
        <v>0</v>
      </c>
      <c r="W9" s="194"/>
      <c r="X9" s="689"/>
      <c r="Y9" s="359">
        <f>IF(M9="O",P9 - AA9,"0:00:00")</f>
        <v>0.375</v>
      </c>
      <c r="Z9" s="360" t="str">
        <f>IF(M9="C",P9,"0:00:00")</f>
        <v>0:00:00</v>
      </c>
      <c r="AA9" s="356" t="str">
        <f>IF(P9="M",Q9-P9,"0:00:00")</f>
        <v>0:00:00</v>
      </c>
      <c r="AB9" s="357">
        <f>SUM(Y9:Z9)</f>
        <v>0.375</v>
      </c>
      <c r="AC9" s="195">
        <v>0</v>
      </c>
      <c r="AD9" s="196" t="b">
        <f>V9=AC9</f>
        <v>1</v>
      </c>
    </row>
    <row r="10" spans="1:31" ht="12.75" customHeight="1" thickBot="1" x14ac:dyDescent="0.25">
      <c r="A10" s="267">
        <v>46240</v>
      </c>
      <c r="B10" s="309">
        <v>0.35625000000000001</v>
      </c>
      <c r="C10" s="309">
        <v>0.54513888888888895</v>
      </c>
      <c r="D10" s="309">
        <v>0.55972222222222223</v>
      </c>
      <c r="E10" s="266"/>
      <c r="F10" s="266"/>
      <c r="G10" s="266"/>
      <c r="H10" s="266"/>
      <c r="I10" s="309">
        <v>0.63263888888888886</v>
      </c>
      <c r="J10" s="265">
        <f t="shared" si="0"/>
        <v>0</v>
      </c>
      <c r="K10" s="265">
        <f t="shared" si="1"/>
        <v>6.9444444444439341E-4</v>
      </c>
      <c r="L10" s="319">
        <f t="shared" si="2"/>
        <v>0.27569444444444446</v>
      </c>
      <c r="M10" s="604" t="s">
        <v>53</v>
      </c>
      <c r="N10" s="316"/>
      <c r="O10" s="214"/>
      <c r="P10" s="428">
        <f>MROUND(L10,"0:15")</f>
        <v>0.27083333333333331</v>
      </c>
      <c r="Q10" s="8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1</v>
      </c>
      <c r="R10" s="84"/>
      <c r="S10" s="85"/>
      <c r="T10" s="423">
        <f>T9-L10</f>
        <v>1.3854166666666665</v>
      </c>
      <c r="U10" s="350"/>
      <c r="V10" s="182">
        <v>0.45833333333333331</v>
      </c>
      <c r="W10" s="194"/>
      <c r="X10" s="689"/>
      <c r="Y10" s="362" t="str">
        <f>IF(M10="O",P10 - AA10,"0:00:00")</f>
        <v>0:00:00</v>
      </c>
      <c r="Z10" s="140">
        <f>IF(M10="C",P10,"0:00:00")</f>
        <v>0.27083333333333331</v>
      </c>
      <c r="AA10" s="140" t="str">
        <f>IF(P10="M",Q10-P10,"0:00:00")</f>
        <v>0:00:00</v>
      </c>
      <c r="AB10" s="158">
        <f>SUM(Y10:Z10)</f>
        <v>0.27083333333333331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267">
        <v>46241</v>
      </c>
      <c r="B11" s="309">
        <v>0.35555555555555557</v>
      </c>
      <c r="C11" s="266"/>
      <c r="D11" s="266"/>
      <c r="E11" s="266"/>
      <c r="F11" s="266"/>
      <c r="G11" s="266"/>
      <c r="H11" s="266"/>
      <c r="I11" s="309">
        <v>0.63680555555555551</v>
      </c>
      <c r="J11" s="624">
        <f t="shared" si="0"/>
        <v>0</v>
      </c>
      <c r="K11" s="624">
        <f t="shared" si="1"/>
        <v>0</v>
      </c>
      <c r="L11" s="625">
        <f t="shared" si="2"/>
        <v>0.28124999999999994</v>
      </c>
      <c r="M11" s="604" t="s">
        <v>53</v>
      </c>
      <c r="N11" s="315"/>
      <c r="O11" s="212"/>
      <c r="P11" s="428">
        <f>MROUND(L11,"0:15")</f>
        <v>0.28125</v>
      </c>
      <c r="Q11" s="197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1</v>
      </c>
      <c r="R11" s="197"/>
      <c r="S11" s="198"/>
      <c r="T11" s="445">
        <f>T10-L11</f>
        <v>1.1041666666666665</v>
      </c>
      <c r="U11" s="351"/>
      <c r="V11" s="182">
        <v>0.29166666666666669</v>
      </c>
      <c r="W11" s="194">
        <v>45261</v>
      </c>
      <c r="X11" s="702"/>
      <c r="Y11" s="363" t="str">
        <f>IF(M11="O",P11 - AA11,"0:00:00")</f>
        <v>0:00:00</v>
      </c>
      <c r="Z11" s="143">
        <f>IF(M11="C",P11,"0:00:00")</f>
        <v>0.28125</v>
      </c>
      <c r="AA11" s="143" t="str">
        <f>IF(P11="M",Q11-P11,"0:00:00")</f>
        <v>0:00:00</v>
      </c>
      <c r="AB11" s="159">
        <f>SUM(Y11:Z11)</f>
        <v>0.28125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1.5208333333333335</v>
      </c>
      <c r="M12" s="396"/>
      <c r="N12" s="122"/>
      <c r="O12" s="123"/>
      <c r="P12" s="703">
        <f>SUM(P7:P11)</f>
        <v>1.5208333333333333</v>
      </c>
      <c r="Q12" s="704"/>
      <c r="R12" s="704"/>
      <c r="S12" s="704"/>
      <c r="T12" s="705"/>
      <c r="U12" s="384"/>
      <c r="V12" s="172"/>
      <c r="W12" s="191" t="s">
        <v>19</v>
      </c>
      <c r="X12" s="145"/>
      <c r="Y12" s="165"/>
      <c r="Z12" s="166"/>
      <c r="AA12" s="243"/>
      <c r="AB12" s="244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397"/>
      <c r="N13" s="122"/>
      <c r="O13" s="123"/>
      <c r="P13" s="446"/>
      <c r="Q13" s="335">
        <f>Q11</f>
        <v>1</v>
      </c>
      <c r="R13" s="335"/>
      <c r="S13" s="336"/>
      <c r="T13" s="447"/>
      <c r="U13" s="388"/>
      <c r="V13" s="35"/>
      <c r="W13" s="69"/>
      <c r="X13" s="148"/>
      <c r="Y13" s="241"/>
      <c r="Z13" s="242"/>
      <c r="AA13" s="162"/>
      <c r="AB13" s="163"/>
      <c r="AC13" s="146"/>
      <c r="AD13" s="149"/>
    </row>
    <row r="14" spans="1:31" s="1" customFormat="1" ht="12" thickBot="1" x14ac:dyDescent="0.25">
      <c r="A14" s="605">
        <v>46244</v>
      </c>
      <c r="B14" s="309">
        <v>0.30555555555555552</v>
      </c>
      <c r="C14" s="309">
        <v>0.5131944444444444</v>
      </c>
      <c r="D14" s="309">
        <v>0.52430555555555558</v>
      </c>
      <c r="E14" s="266"/>
      <c r="F14" s="266"/>
      <c r="G14" s="266"/>
      <c r="H14" s="266"/>
      <c r="I14" s="309">
        <v>0.62152777777777779</v>
      </c>
      <c r="J14" s="265">
        <f t="shared" ref="J14:J18" si="3">F14-E14</f>
        <v>0</v>
      </c>
      <c r="K14" s="265">
        <f t="shared" ref="K14:K18" si="4">IF((D14-C14)&lt;=$F$2,0,(D14-C14)-$F$2)</f>
        <v>0</v>
      </c>
      <c r="L14" s="319">
        <f t="shared" ref="L14:L18" si="5">(I14-B14)-K14-(H14-G14)-J14</f>
        <v>0.31597222222222227</v>
      </c>
      <c r="M14" s="604" t="s">
        <v>45</v>
      </c>
      <c r="N14" s="315"/>
      <c r="O14" s="212"/>
      <c r="P14" s="428">
        <f>MROUND(L14,"0:15")</f>
        <v>0.3125</v>
      </c>
      <c r="Q14" s="201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6</v>
      </c>
      <c r="R14" s="201"/>
      <c r="S14" s="202"/>
      <c r="T14" s="429">
        <f>T11-L14</f>
        <v>0.7881944444444442</v>
      </c>
      <c r="U14" s="352"/>
      <c r="V14" s="205">
        <v>0.30208333333333331</v>
      </c>
      <c r="W14" s="204">
        <v>45264</v>
      </c>
      <c r="X14" s="682"/>
      <c r="Y14" s="345">
        <f>IF(M14="O",P14 - AA14,"0:00:00")</f>
        <v>0.3125</v>
      </c>
      <c r="Z14" s="349" t="str">
        <f>IF(M14="C",P14,"0:00:00")</f>
        <v>0:00:00</v>
      </c>
      <c r="AA14" s="138" t="str">
        <f>IF(P14="M",Q14-P14,"0:00:00")</f>
        <v>0:00:00</v>
      </c>
      <c r="AB14" s="157">
        <f>SUM(Y14:Z14)</f>
        <v>0.3125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605">
        <v>46245</v>
      </c>
      <c r="B15" s="309">
        <v>0.3527777777777778</v>
      </c>
      <c r="C15" s="309">
        <v>0.51458333333333328</v>
      </c>
      <c r="D15" s="309">
        <v>0.52916666666666667</v>
      </c>
      <c r="E15" s="309"/>
      <c r="F15" s="309"/>
      <c r="G15" s="309"/>
      <c r="H15" s="309"/>
      <c r="I15" s="309">
        <v>0.62222222222222223</v>
      </c>
      <c r="J15" s="265">
        <f t="shared" si="3"/>
        <v>0</v>
      </c>
      <c r="K15" s="265">
        <f t="shared" si="4"/>
        <v>6.9444444444450443E-4</v>
      </c>
      <c r="L15" s="319">
        <f t="shared" si="5"/>
        <v>0.26874999999999993</v>
      </c>
      <c r="M15" s="604" t="s">
        <v>53</v>
      </c>
      <c r="N15" s="315"/>
      <c r="O15" s="212"/>
      <c r="P15" s="428">
        <f>MROUND(L15,"0:15")</f>
        <v>0.27083333333333331</v>
      </c>
      <c r="Q15" s="8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3</v>
      </c>
      <c r="R15" s="84"/>
      <c r="S15" s="85"/>
      <c r="T15" s="423">
        <f>T14-L15</f>
        <v>0.51944444444444426</v>
      </c>
      <c r="U15" s="350"/>
      <c r="V15" s="206">
        <v>0.25</v>
      </c>
      <c r="W15" s="204">
        <v>45265</v>
      </c>
      <c r="X15" s="682"/>
      <c r="Y15" s="361" t="str">
        <f>IF(M15="O",P15 - AA15,"0:00:00")</f>
        <v>0:00:00</v>
      </c>
      <c r="Z15" s="152">
        <f>IF(M15="C",P15,"0:00:00")</f>
        <v>0.27083333333333331</v>
      </c>
      <c r="AA15" s="152" t="str">
        <f>IF(P15="M",Q15-P15,"0:00:00")</f>
        <v>0:00:00</v>
      </c>
      <c r="AB15" s="164">
        <f>SUM(Y15:Z15)</f>
        <v>0.27083333333333331</v>
      </c>
      <c r="AC15" s="107">
        <v>0.25</v>
      </c>
      <c r="AD15" s="189" t="b">
        <f>V15=AC15</f>
        <v>1</v>
      </c>
    </row>
    <row r="16" spans="1:31" s="1" customFormat="1" ht="12.75" customHeight="1" thickBot="1" x14ac:dyDescent="0.25">
      <c r="A16" s="605">
        <v>46246</v>
      </c>
      <c r="B16" s="309">
        <v>0.29791666666666666</v>
      </c>
      <c r="C16" s="309">
        <v>0.52083333333333337</v>
      </c>
      <c r="D16" s="309">
        <v>0.53541666666666665</v>
      </c>
      <c r="E16" s="309"/>
      <c r="F16" s="309"/>
      <c r="G16" s="309"/>
      <c r="H16" s="309"/>
      <c r="I16" s="309">
        <v>0.57291666666666663</v>
      </c>
      <c r="J16" s="265">
        <f t="shared" si="3"/>
        <v>0</v>
      </c>
      <c r="K16" s="265">
        <f t="shared" si="4"/>
        <v>6.9444444444439341E-4</v>
      </c>
      <c r="L16" s="319">
        <f t="shared" si="5"/>
        <v>0.27430555555555558</v>
      </c>
      <c r="M16" s="604" t="s">
        <v>45</v>
      </c>
      <c r="N16" s="315"/>
      <c r="O16" s="212"/>
      <c r="P16" s="428">
        <f>MROUND(L16,"0:15")</f>
        <v>0.27083333333333331</v>
      </c>
      <c r="Q16" s="95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-7</v>
      </c>
      <c r="R16" s="95"/>
      <c r="S16" s="96"/>
      <c r="T16" s="431">
        <f>T15-P16</f>
        <v>0.24861111111111095</v>
      </c>
      <c r="U16" s="354"/>
      <c r="V16" s="206">
        <v>0.23958333333333334</v>
      </c>
      <c r="W16" s="204">
        <v>45266</v>
      </c>
      <c r="X16" s="682"/>
      <c r="Y16" s="142">
        <f>IF(M16="O",P16 - AA16,"0:00:00")</f>
        <v>0.27083333333333331</v>
      </c>
      <c r="Z16" s="140" t="str">
        <f>IF(M16="C",P16,"0:00:00")</f>
        <v>0:00:00</v>
      </c>
      <c r="AA16" s="140" t="str">
        <f>IF(P16="M",Q16-P16,"0:00:00")</f>
        <v>0:00:00</v>
      </c>
      <c r="AB16" s="140">
        <f>SUM(Y16:Z16)</f>
        <v>0.27083333333333331</v>
      </c>
      <c r="AC16" s="107">
        <v>0.23958333333333334</v>
      </c>
      <c r="AD16" s="189" t="b">
        <f>V16=AC16</f>
        <v>1</v>
      </c>
    </row>
    <row r="17" spans="1:30" ht="12.75" customHeight="1" thickBot="1" x14ac:dyDescent="0.25">
      <c r="A17" s="311">
        <v>46247</v>
      </c>
      <c r="B17" s="312"/>
      <c r="C17" s="312"/>
      <c r="D17" s="312"/>
      <c r="E17" s="312"/>
      <c r="F17" s="312"/>
      <c r="G17" s="312"/>
      <c r="H17" s="312"/>
      <c r="I17" s="312"/>
      <c r="J17" s="313">
        <f t="shared" si="3"/>
        <v>0</v>
      </c>
      <c r="K17" s="313">
        <f t="shared" si="4"/>
        <v>0</v>
      </c>
      <c r="L17" s="507">
        <f t="shared" si="5"/>
        <v>0</v>
      </c>
      <c r="M17" s="604" t="s">
        <v>45</v>
      </c>
      <c r="N17" s="316"/>
      <c r="O17" s="214"/>
      <c r="P17" s="428">
        <f>MROUND(L17,"0:15")</f>
        <v>0</v>
      </c>
      <c r="Q17" s="8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-7</v>
      </c>
      <c r="R17" s="84"/>
      <c r="S17" s="85"/>
      <c r="T17" s="432">
        <f>T16-P17</f>
        <v>0.24861111111111095</v>
      </c>
      <c r="U17" s="350"/>
      <c r="V17" s="206">
        <v>0</v>
      </c>
      <c r="W17" s="204">
        <v>45267</v>
      </c>
      <c r="X17" s="682"/>
      <c r="Y17" s="343">
        <f>IF(M17="O",P17 - AA17,"0:00:00")</f>
        <v>0</v>
      </c>
      <c r="Z17" s="344" t="str">
        <f>IF(M17="C",P17,"0:00:00")</f>
        <v>0:00:00</v>
      </c>
      <c r="AA17" s="344" t="str">
        <f>IF(P17="M",Q17-P17,"0:00:00")</f>
        <v>0:00:00</v>
      </c>
      <c r="AB17" s="344">
        <f>SUM(Y17:Z17)</f>
        <v>0</v>
      </c>
      <c r="AC17" s="195">
        <v>0</v>
      </c>
      <c r="AD17" s="196" t="b">
        <f>V17=AC17</f>
        <v>1</v>
      </c>
    </row>
    <row r="18" spans="1:30" ht="13.5" thickBot="1" x14ac:dyDescent="0.25">
      <c r="A18" s="311">
        <v>46248</v>
      </c>
      <c r="B18" s="312"/>
      <c r="C18" s="312"/>
      <c r="D18" s="312"/>
      <c r="E18" s="312"/>
      <c r="F18" s="312"/>
      <c r="G18" s="312"/>
      <c r="H18" s="312"/>
      <c r="I18" s="312"/>
      <c r="J18" s="676">
        <f t="shared" si="3"/>
        <v>0</v>
      </c>
      <c r="K18" s="676">
        <f t="shared" si="4"/>
        <v>0</v>
      </c>
      <c r="L18" s="677">
        <f t="shared" si="5"/>
        <v>0</v>
      </c>
      <c r="M18" s="604" t="s">
        <v>53</v>
      </c>
      <c r="N18" s="315"/>
      <c r="O18" s="212"/>
      <c r="P18" s="428">
        <f>MROUND(L18,"0:15")</f>
        <v>0</v>
      </c>
      <c r="Q18" s="199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-7</v>
      </c>
      <c r="R18" s="199"/>
      <c r="S18" s="200"/>
      <c r="T18" s="433">
        <f>T17-L18</f>
        <v>0.24861111111111095</v>
      </c>
      <c r="U18" s="358"/>
      <c r="V18" s="207">
        <v>0</v>
      </c>
      <c r="W18" s="204">
        <v>45268</v>
      </c>
      <c r="X18" s="682"/>
      <c r="Y18" s="364" t="str">
        <f>IF(M18="O",P18 - AA18,"0:00:00")</f>
        <v>0:00:00</v>
      </c>
      <c r="Z18" s="365">
        <f>IF(M18="C",P18,"0:00:00")</f>
        <v>0</v>
      </c>
      <c r="AA18" s="143" t="str">
        <f>IF(P18="M",Q18-P18,"0:00:00")</f>
        <v>0:00:00</v>
      </c>
      <c r="AB18" s="159">
        <f>SUM(Y18:Z18)</f>
        <v>0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0.85902777777777772</v>
      </c>
      <c r="M19" s="398"/>
      <c r="N19" s="122"/>
      <c r="O19" s="123"/>
      <c r="P19" s="706">
        <f>SUM(P14:P18)</f>
        <v>0.85416666666666652</v>
      </c>
      <c r="Q19" s="707"/>
      <c r="R19" s="707"/>
      <c r="S19" s="707"/>
      <c r="T19" s="708"/>
      <c r="U19" s="384"/>
      <c r="V19" s="173"/>
      <c r="W19" s="75" t="s">
        <v>20</v>
      </c>
      <c r="X19" s="145"/>
      <c r="Y19" s="165"/>
      <c r="Z19" s="166"/>
      <c r="AA19" s="243"/>
      <c r="AB19" s="244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397"/>
      <c r="N20" s="323"/>
      <c r="O20" s="123"/>
      <c r="P20" s="434"/>
      <c r="Q20" s="341">
        <f>Q18</f>
        <v>-7</v>
      </c>
      <c r="R20" s="341"/>
      <c r="S20" s="342"/>
      <c r="T20" s="435"/>
      <c r="U20" s="385"/>
      <c r="V20" s="35"/>
      <c r="W20" s="79"/>
      <c r="X20" s="148"/>
      <c r="Y20" s="160"/>
      <c r="Z20" s="161"/>
      <c r="AA20" s="162"/>
      <c r="AB20" s="244"/>
      <c r="AC20" s="146"/>
      <c r="AD20" s="149"/>
    </row>
    <row r="21" spans="1:30" ht="12.75" customHeight="1" thickBot="1" x14ac:dyDescent="0.25">
      <c r="A21" s="311">
        <v>45886</v>
      </c>
      <c r="B21" s="312"/>
      <c r="C21" s="312"/>
      <c r="D21" s="312"/>
      <c r="E21" s="312"/>
      <c r="F21" s="312"/>
      <c r="G21" s="312"/>
      <c r="H21" s="312"/>
      <c r="I21" s="312"/>
      <c r="J21" s="313">
        <f t="shared" ref="J21:J25" si="6">F21-E21</f>
        <v>0</v>
      </c>
      <c r="K21" s="676">
        <f t="shared" ref="K21:K25" si="7">IF((D21-C21)&lt;=$F$2,0,(D21-C21)-$F$2)</f>
        <v>0</v>
      </c>
      <c r="L21" s="677">
        <f t="shared" ref="L21:L25" si="8">(I21-B21)-K21-(H21-G21)-J21</f>
        <v>0</v>
      </c>
      <c r="M21" s="604" t="s">
        <v>45</v>
      </c>
      <c r="N21" s="315"/>
      <c r="O21" s="212"/>
      <c r="P21" s="428">
        <f>MROUND(L21,"0:15")</f>
        <v>0</v>
      </c>
      <c r="Q21" s="98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-7</v>
      </c>
      <c r="R21" s="98"/>
      <c r="S21" s="99"/>
      <c r="T21" s="436">
        <f>T18-L21</f>
        <v>0.24861111111111095</v>
      </c>
      <c r="U21" s="100"/>
      <c r="V21" s="205">
        <v>0.36458333333333331</v>
      </c>
      <c r="W21" s="192">
        <v>45271</v>
      </c>
      <c r="X21" s="682"/>
      <c r="Y21" s="345">
        <f>IF(M21="O",P21 - AA21,"0:00:00")</f>
        <v>0</v>
      </c>
      <c r="Z21" s="349" t="str">
        <f>IF(M21="C",P21,"0:00:00")</f>
        <v>0:00:00</v>
      </c>
      <c r="AA21" s="138" t="str">
        <f>IF(P21="M",Q21-P21,"0:00:00")</f>
        <v>0:00:00</v>
      </c>
      <c r="AB21" s="348">
        <f>SUM(Y21:Z21)</f>
        <v>0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311">
        <v>45887</v>
      </c>
      <c r="B22" s="312"/>
      <c r="C22" s="312"/>
      <c r="D22" s="312"/>
      <c r="E22" s="312"/>
      <c r="F22" s="312"/>
      <c r="G22" s="312"/>
      <c r="H22" s="312"/>
      <c r="I22" s="312"/>
      <c r="J22" s="313">
        <f t="shared" si="6"/>
        <v>0</v>
      </c>
      <c r="K22" s="676">
        <f t="shared" si="7"/>
        <v>0</v>
      </c>
      <c r="L22" s="677">
        <f t="shared" si="8"/>
        <v>0</v>
      </c>
      <c r="M22" s="604" t="s">
        <v>53</v>
      </c>
      <c r="N22" s="315"/>
      <c r="O22" s="212"/>
      <c r="P22" s="428">
        <f>MROUND(L22,"0:15")</f>
        <v>0</v>
      </c>
      <c r="Q22" s="95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-7</v>
      </c>
      <c r="R22" s="95"/>
      <c r="S22" s="96"/>
      <c r="T22" s="422">
        <f>T21-L22</f>
        <v>0.24861111111111095</v>
      </c>
      <c r="U22" s="97"/>
      <c r="V22" s="206">
        <v>0.36458333333333331</v>
      </c>
      <c r="W22" s="192">
        <v>45272</v>
      </c>
      <c r="X22" s="682"/>
      <c r="Y22" s="361" t="str">
        <f>IF(M22="O",P22 - AA22,"0:00:00")</f>
        <v>0:00:00</v>
      </c>
      <c r="Z22" s="152">
        <f>IF(M22="C",P22,"0:00:00")</f>
        <v>0</v>
      </c>
      <c r="AA22" s="140" t="str">
        <f>IF(P22="M",Q22-P22,"0:00:00")</f>
        <v>0:00:00</v>
      </c>
      <c r="AB22" s="158">
        <f>SUM(Y22:Z22)</f>
        <v>0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311">
        <v>45888</v>
      </c>
      <c r="B23" s="312"/>
      <c r="C23" s="312"/>
      <c r="D23" s="312"/>
      <c r="E23" s="312"/>
      <c r="F23" s="312"/>
      <c r="G23" s="312"/>
      <c r="H23" s="312"/>
      <c r="I23" s="312"/>
      <c r="J23" s="313">
        <f t="shared" si="6"/>
        <v>0</v>
      </c>
      <c r="K23" s="676">
        <f t="shared" si="7"/>
        <v>0</v>
      </c>
      <c r="L23" s="677">
        <f t="shared" si="8"/>
        <v>0</v>
      </c>
      <c r="M23" s="604" t="s">
        <v>45</v>
      </c>
      <c r="N23" s="315"/>
      <c r="O23" s="212"/>
      <c r="P23" s="428">
        <f>MROUND(L23,"0:15")</f>
        <v>0</v>
      </c>
      <c r="Q23" s="95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-7</v>
      </c>
      <c r="R23" s="95"/>
      <c r="S23" s="96"/>
      <c r="T23" s="422">
        <f>T22-L23</f>
        <v>0.24861111111111095</v>
      </c>
      <c r="U23" s="97"/>
      <c r="V23" s="206">
        <v>0.45833333333333331</v>
      </c>
      <c r="W23" s="192">
        <v>45273</v>
      </c>
      <c r="X23" s="682"/>
      <c r="Y23" s="361">
        <f>IF(M23="O",P23 - AA23,"0:00:00")</f>
        <v>0</v>
      </c>
      <c r="Z23" s="140" t="str">
        <f>IF(M23="C",P23,"0:00:00")</f>
        <v>0:00:00</v>
      </c>
      <c r="AA23" s="140" t="str">
        <f>IF(P23="M",Q23-P23,"0:00:00")</f>
        <v>0:00:00</v>
      </c>
      <c r="AB23" s="158">
        <f>SUM(Y23:Z23)</f>
        <v>0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311">
        <v>45889</v>
      </c>
      <c r="B24" s="312"/>
      <c r="C24" s="312"/>
      <c r="D24" s="312"/>
      <c r="E24" s="312"/>
      <c r="F24" s="312"/>
      <c r="G24" s="312"/>
      <c r="H24" s="312"/>
      <c r="I24" s="312"/>
      <c r="J24" s="313">
        <f t="shared" si="6"/>
        <v>0</v>
      </c>
      <c r="K24" s="676">
        <f t="shared" si="7"/>
        <v>0</v>
      </c>
      <c r="L24" s="677">
        <f t="shared" si="8"/>
        <v>0</v>
      </c>
      <c r="M24" s="604" t="s">
        <v>53</v>
      </c>
      <c r="N24" s="315"/>
      <c r="O24" s="212"/>
      <c r="P24" s="428">
        <f>MROUND(L24,"0:15")</f>
        <v>0</v>
      </c>
      <c r="Q24" s="249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-7</v>
      </c>
      <c r="R24" s="249"/>
      <c r="S24" s="250"/>
      <c r="T24" s="437">
        <f>T23-L24</f>
        <v>0.24861111111111095</v>
      </c>
      <c r="U24" s="354"/>
      <c r="V24" s="182">
        <v>0.32291666666666669</v>
      </c>
      <c r="W24" s="192">
        <v>45274</v>
      </c>
      <c r="X24" s="682"/>
      <c r="Y24" s="142" t="str">
        <f>IF(M24="O",P24 - AA24,"0:00:00")</f>
        <v>0:00:00</v>
      </c>
      <c r="Z24" s="344">
        <f>IF(M24="C",P24,"0:00:00")</f>
        <v>0</v>
      </c>
      <c r="AA24" s="140" t="str">
        <f>IF(P24="M",Q24-P24,"0:00:00")</f>
        <v>0:00:00</v>
      </c>
      <c r="AB24" s="158">
        <f>SUM(Y24:Z24)</f>
        <v>0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311">
        <v>45890</v>
      </c>
      <c r="B25" s="312"/>
      <c r="C25" s="312"/>
      <c r="D25" s="312"/>
      <c r="E25" s="312"/>
      <c r="F25" s="312"/>
      <c r="G25" s="312"/>
      <c r="H25" s="312"/>
      <c r="I25" s="312"/>
      <c r="J25" s="676">
        <f t="shared" si="6"/>
        <v>0</v>
      </c>
      <c r="K25" s="676">
        <f t="shared" si="7"/>
        <v>0</v>
      </c>
      <c r="L25" s="677">
        <f t="shared" si="8"/>
        <v>0</v>
      </c>
      <c r="M25" s="604" t="s">
        <v>53</v>
      </c>
      <c r="N25" s="315"/>
      <c r="O25" s="212"/>
      <c r="P25" s="428">
        <f>MROUND(L25,"0:15")</f>
        <v>0</v>
      </c>
      <c r="Q25" s="251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-7</v>
      </c>
      <c r="R25" s="251"/>
      <c r="S25" s="252"/>
      <c r="T25" s="438">
        <f>T24-L25</f>
        <v>0.24861111111111095</v>
      </c>
      <c r="U25" s="355"/>
      <c r="V25" s="182">
        <v>0.36458333333333331</v>
      </c>
      <c r="W25" s="192">
        <v>45275</v>
      </c>
      <c r="X25" s="682"/>
      <c r="Y25" s="364" t="str">
        <f>IF(M25="O",P25 - AA25,"0:00:00")</f>
        <v>0:00:00</v>
      </c>
      <c r="Z25" s="365">
        <f>IF(M25="C",P25,"0:00:00")</f>
        <v>0</v>
      </c>
      <c r="AA25" s="143" t="str">
        <f>IF(P25="M",Q25-P25,"0:00:00")</f>
        <v>0:00:00</v>
      </c>
      <c r="AB25" s="159">
        <f>SUM(Y25:Z25)</f>
        <v>0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0</v>
      </c>
      <c r="M26" s="398"/>
      <c r="N26" s="128"/>
      <c r="O26" s="129"/>
      <c r="P26" s="706">
        <f>SUM(P21:P25)</f>
        <v>0</v>
      </c>
      <c r="Q26" s="707"/>
      <c r="R26" s="707"/>
      <c r="S26" s="707"/>
      <c r="T26" s="708"/>
      <c r="U26" s="386"/>
      <c r="V26" s="172"/>
      <c r="W26" s="80" t="s">
        <v>21</v>
      </c>
      <c r="X26" s="145"/>
      <c r="Y26" s="165"/>
      <c r="Z26" s="166"/>
      <c r="AA26" s="243"/>
      <c r="AB26" s="244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399"/>
      <c r="N27" s="130"/>
      <c r="O27" s="131"/>
      <c r="P27" s="426"/>
      <c r="Q27" s="338">
        <f>Q25</f>
        <v>-7</v>
      </c>
      <c r="R27" s="338"/>
      <c r="S27" s="339"/>
      <c r="T27" s="427"/>
      <c r="U27" s="374"/>
      <c r="V27" s="35"/>
      <c r="W27" s="81"/>
      <c r="X27" s="148"/>
      <c r="Y27" s="160"/>
      <c r="Z27" s="161"/>
      <c r="AA27" s="162"/>
      <c r="AB27" s="163"/>
      <c r="AC27" s="146"/>
      <c r="AD27" s="149"/>
    </row>
    <row r="28" spans="1:30" ht="15.75" customHeight="1" thickBot="1" x14ac:dyDescent="0.25">
      <c r="A28" s="314">
        <v>46258</v>
      </c>
      <c r="B28" s="312"/>
      <c r="C28" s="312"/>
      <c r="D28" s="312"/>
      <c r="E28" s="312"/>
      <c r="F28" s="312"/>
      <c r="G28" s="312"/>
      <c r="H28" s="312"/>
      <c r="I28" s="312"/>
      <c r="J28" s="313">
        <f t="shared" ref="J28:J32" si="9">F28-E28</f>
        <v>0</v>
      </c>
      <c r="K28" s="678">
        <f t="shared" ref="K28:K32" si="10">IF((D28-C28)&lt;=$F$2,0,(D28-C28)-$F$2)</f>
        <v>0</v>
      </c>
      <c r="L28" s="679">
        <f t="shared" ref="L28:L32" si="11">(I28-B28)-K28-(H28-G28)-J28</f>
        <v>0</v>
      </c>
      <c r="M28" s="604" t="s">
        <v>45</v>
      </c>
      <c r="N28" s="315"/>
      <c r="O28" s="212"/>
      <c r="P28" s="428">
        <f>MROUND(L28,"0:15")</f>
        <v>0</v>
      </c>
      <c r="Q28" s="98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-7</v>
      </c>
      <c r="R28" s="98"/>
      <c r="S28" s="99"/>
      <c r="T28" s="436">
        <f>T25-L28</f>
        <v>0.24861111111111095</v>
      </c>
      <c r="U28" s="100"/>
      <c r="V28" s="205">
        <v>0.30208333333333331</v>
      </c>
      <c r="W28" s="192">
        <v>45278</v>
      </c>
      <c r="X28" s="682"/>
      <c r="Y28" s="345">
        <f>IF(M28="O",P28 - AA28,"0:00:00")</f>
        <v>0</v>
      </c>
      <c r="Z28" s="349" t="str">
        <f>IF(M28="C",P28,"0:00:00")</f>
        <v>0:00:00</v>
      </c>
      <c r="AA28" s="138" t="str">
        <f>IF(P28="M",Q28-P28,"0:00:00")</f>
        <v>0:00:00</v>
      </c>
      <c r="AB28" s="157">
        <f>SUM(Y28:Z28)</f>
        <v>0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314">
        <v>46259</v>
      </c>
      <c r="B29" s="312"/>
      <c r="C29" s="312"/>
      <c r="D29" s="312"/>
      <c r="E29" s="312"/>
      <c r="F29" s="312"/>
      <c r="G29" s="312"/>
      <c r="H29" s="312"/>
      <c r="I29" s="312"/>
      <c r="J29" s="313">
        <f t="shared" si="9"/>
        <v>0</v>
      </c>
      <c r="K29" s="678">
        <f t="shared" si="10"/>
        <v>0</v>
      </c>
      <c r="L29" s="679">
        <f t="shared" si="11"/>
        <v>0</v>
      </c>
      <c r="M29" s="604" t="s">
        <v>53</v>
      </c>
      <c r="N29" s="315"/>
      <c r="O29" s="212"/>
      <c r="P29" s="428">
        <f>MROUND(L29,"0:15")</f>
        <v>0</v>
      </c>
      <c r="Q29" s="95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-7</v>
      </c>
      <c r="R29" s="95"/>
      <c r="S29" s="96"/>
      <c r="T29" s="422">
        <f>T28-L29</f>
        <v>0.24861111111111095</v>
      </c>
      <c r="U29" s="97"/>
      <c r="V29" s="206">
        <v>0</v>
      </c>
      <c r="W29" s="192">
        <v>45279</v>
      </c>
      <c r="X29" s="682"/>
      <c r="Y29" s="361" t="str">
        <f>IF(M29="O",P29 - AA29,"0:00:00")</f>
        <v>0:00:00</v>
      </c>
      <c r="Z29" s="152">
        <f>IF(M29="C",P29,"0:00:00")</f>
        <v>0</v>
      </c>
      <c r="AA29" s="140" t="str">
        <f>IF(P29="M",Q29-P29,"0:00:00")</f>
        <v>0:00:00</v>
      </c>
      <c r="AB29" s="158">
        <f>SUM(Y29:Z29)</f>
        <v>0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314">
        <v>46260</v>
      </c>
      <c r="B30" s="312"/>
      <c r="C30" s="312"/>
      <c r="D30" s="312"/>
      <c r="E30" s="312"/>
      <c r="F30" s="312"/>
      <c r="G30" s="312"/>
      <c r="H30" s="312"/>
      <c r="I30" s="312"/>
      <c r="J30" s="313">
        <f t="shared" si="9"/>
        <v>0</v>
      </c>
      <c r="K30" s="678">
        <f t="shared" si="10"/>
        <v>0</v>
      </c>
      <c r="L30" s="679">
        <f t="shared" si="11"/>
        <v>0</v>
      </c>
      <c r="M30" s="604" t="s">
        <v>45</v>
      </c>
      <c r="N30" s="315"/>
      <c r="O30" s="212"/>
      <c r="P30" s="428">
        <f>MROUND(L30,"0:15")</f>
        <v>0</v>
      </c>
      <c r="Q30" s="95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-7</v>
      </c>
      <c r="R30" s="95"/>
      <c r="S30" s="96"/>
      <c r="T30" s="422">
        <f>T29-L30</f>
        <v>0.24861111111111095</v>
      </c>
      <c r="U30" s="97"/>
      <c r="V30" s="206">
        <v>0.35416666666666669</v>
      </c>
      <c r="W30" s="192">
        <v>45280</v>
      </c>
      <c r="X30" s="682"/>
      <c r="Y30" s="142">
        <f>IF(M30="O",P30 - AA30,"0:00:00")</f>
        <v>0</v>
      </c>
      <c r="Z30" s="140" t="str">
        <f>IF(M30="C",P30,"0:00:00")</f>
        <v>0:00:00</v>
      </c>
      <c r="AA30" s="140" t="str">
        <f>IF(P30="M",Q30-P30,"0:00:00")</f>
        <v>0:00:00</v>
      </c>
      <c r="AB30" s="158">
        <f>SUM(Y30:Z30)</f>
        <v>0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314">
        <v>46261</v>
      </c>
      <c r="B31" s="312"/>
      <c r="C31" s="312"/>
      <c r="D31" s="312"/>
      <c r="E31" s="312"/>
      <c r="F31" s="312"/>
      <c r="G31" s="312"/>
      <c r="H31" s="312"/>
      <c r="I31" s="312"/>
      <c r="J31" s="313">
        <f t="shared" si="9"/>
        <v>0</v>
      </c>
      <c r="K31" s="678">
        <f t="shared" si="10"/>
        <v>0</v>
      </c>
      <c r="L31" s="679">
        <f t="shared" si="11"/>
        <v>0</v>
      </c>
      <c r="M31" s="604" t="s">
        <v>45</v>
      </c>
      <c r="N31" s="315"/>
      <c r="O31" s="212"/>
      <c r="P31" s="428">
        <f>MROUND(L31,"0:15")</f>
        <v>0</v>
      </c>
      <c r="Q31" s="95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-7</v>
      </c>
      <c r="R31" s="95"/>
      <c r="S31" s="96"/>
      <c r="T31" s="422">
        <f>T30-L31</f>
        <v>0.24861111111111095</v>
      </c>
      <c r="U31" s="97"/>
      <c r="V31" s="206">
        <v>0.41666666666666669</v>
      </c>
      <c r="W31" s="192">
        <v>45281</v>
      </c>
      <c r="X31" s="682"/>
      <c r="Y31" s="343">
        <f>IF(M31="O",P31 - AA31,"0:00:00")</f>
        <v>0</v>
      </c>
      <c r="Z31" s="344" t="str">
        <f>IF(M31="C",P31,"0:00:00")</f>
        <v>0:00:00</v>
      </c>
      <c r="AA31" s="140" t="str">
        <f>IF(P31="M",Q31-P31,"0:00:00")</f>
        <v>0:00:00</v>
      </c>
      <c r="AB31" s="158">
        <f>SUM(Y31:Z31)</f>
        <v>0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314">
        <v>46262</v>
      </c>
      <c r="B32" s="312"/>
      <c r="C32" s="312"/>
      <c r="D32" s="312"/>
      <c r="E32" s="312"/>
      <c r="F32" s="312"/>
      <c r="G32" s="312"/>
      <c r="H32" s="312"/>
      <c r="I32" s="312"/>
      <c r="J32" s="676">
        <f t="shared" si="9"/>
        <v>0</v>
      </c>
      <c r="K32" s="678">
        <f t="shared" si="10"/>
        <v>0</v>
      </c>
      <c r="L32" s="679">
        <f t="shared" si="11"/>
        <v>0</v>
      </c>
      <c r="M32" s="604" t="s">
        <v>53</v>
      </c>
      <c r="N32" s="315"/>
      <c r="O32" s="212"/>
      <c r="P32" s="428">
        <f>MROUND(L32,"0:15")</f>
        <v>0</v>
      </c>
      <c r="Q32" s="95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-7</v>
      </c>
      <c r="R32" s="95"/>
      <c r="S32" s="96"/>
      <c r="T32" s="422">
        <f>T31-L32</f>
        <v>0.24861111111111095</v>
      </c>
      <c r="U32" s="111"/>
      <c r="V32" s="78">
        <v>0.35416666666666669</v>
      </c>
      <c r="W32" s="192">
        <v>45282</v>
      </c>
      <c r="X32" s="682"/>
      <c r="Y32" s="364" t="str">
        <f>IF(M32="O",P32 - AA32,"0:00:00")</f>
        <v>0:00:00</v>
      </c>
      <c r="Z32" s="365">
        <f>IF(M32="C",P32,"0:00:00")</f>
        <v>0</v>
      </c>
      <c r="AA32" s="143" t="str">
        <f>IF(P32="M",Q32-P32,"0:00:00")</f>
        <v>0:00:00</v>
      </c>
      <c r="AB32" s="159">
        <f>SUM(Y32:Z32)</f>
        <v>0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0</v>
      </c>
      <c r="M33" s="398"/>
      <c r="N33" s="128"/>
      <c r="O33" s="129"/>
      <c r="P33" s="706">
        <f>SUM(P28:P32)</f>
        <v>0</v>
      </c>
      <c r="Q33" s="707"/>
      <c r="R33" s="707"/>
      <c r="S33" s="707"/>
      <c r="T33" s="708"/>
      <c r="U33" s="386"/>
      <c r="V33" s="172"/>
      <c r="W33" s="75" t="s">
        <v>22</v>
      </c>
      <c r="X33" s="145"/>
      <c r="Y33" s="165"/>
      <c r="Z33" s="166"/>
      <c r="AA33" s="243"/>
      <c r="AB33" s="244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395"/>
      <c r="N34" s="130"/>
      <c r="O34" s="131"/>
      <c r="P34" s="426"/>
      <c r="Q34" s="338">
        <f>Q32</f>
        <v>-7</v>
      </c>
      <c r="R34" s="338"/>
      <c r="S34" s="339"/>
      <c r="T34" s="427"/>
      <c r="U34" s="374"/>
      <c r="V34" s="35"/>
      <c r="W34" s="82"/>
      <c r="X34" s="148"/>
      <c r="Y34" s="160"/>
      <c r="Z34" s="161"/>
      <c r="AA34" s="162"/>
      <c r="AB34" s="163"/>
      <c r="AC34" s="146"/>
      <c r="AD34" s="149"/>
    </row>
    <row r="35" spans="1:30" ht="12.75" customHeight="1" thickBot="1" x14ac:dyDescent="0.25">
      <c r="A35" s="267">
        <v>46265</v>
      </c>
      <c r="B35" s="309">
        <v>0.3</v>
      </c>
      <c r="C35" s="266"/>
      <c r="D35" s="266"/>
      <c r="E35" s="266"/>
      <c r="F35" s="266"/>
      <c r="G35" s="266"/>
      <c r="H35" s="266"/>
      <c r="I35" s="309">
        <v>0.57638888888888895</v>
      </c>
      <c r="J35" s="602">
        <f t="shared" ref="J35" si="12">F35-E35</f>
        <v>0</v>
      </c>
      <c r="K35" s="602">
        <f t="shared" ref="K35" si="13">IF((D35-C35)&lt;=$F$2,0,(D35-C35)-$F$2)</f>
        <v>0</v>
      </c>
      <c r="L35" s="603">
        <f t="shared" ref="L35" si="14">(I35-B35)-K35-(H35-G35)-J35</f>
        <v>0.27638888888888896</v>
      </c>
      <c r="M35" s="604" t="s">
        <v>45</v>
      </c>
      <c r="N35" s="315"/>
      <c r="O35" s="212"/>
      <c r="P35" s="440">
        <f t="shared" ref="P35:P39" si="15">MROUND(L35,"0:15")</f>
        <v>0.28125</v>
      </c>
      <c r="Q35" s="98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1</v>
      </c>
      <c r="R35" s="98"/>
      <c r="S35" s="99"/>
      <c r="T35" s="436">
        <f>T32-L35</f>
        <v>-2.7777777777778012E-2</v>
      </c>
      <c r="U35" s="100"/>
      <c r="V35" s="151">
        <v>0.33333333333333331</v>
      </c>
      <c r="W35" s="192">
        <v>45285</v>
      </c>
      <c r="X35" s="709"/>
      <c r="Y35" s="345">
        <f>IF(M35="O",P35 - AA35,"0:00:00")</f>
        <v>0.28125</v>
      </c>
      <c r="Z35" s="349" t="str">
        <f t="shared" ref="Z35:Z39" si="16">IF(M35="C",P35,"0:00:00")</f>
        <v>0:00:00</v>
      </c>
      <c r="AA35" s="138" t="str">
        <f>IF(P35="M",Q35-P35,"0:00:00")</f>
        <v>0:00:00</v>
      </c>
      <c r="AB35" s="157">
        <f>SUM(Y35:Z35)</f>
        <v>0.28125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592"/>
      <c r="B36" s="591"/>
      <c r="C36" s="591"/>
      <c r="D36" s="591"/>
      <c r="E36" s="588"/>
      <c r="F36" s="588"/>
      <c r="G36" s="588"/>
      <c r="H36" s="588"/>
      <c r="I36" s="591"/>
      <c r="J36" s="666"/>
      <c r="K36" s="666"/>
      <c r="L36" s="667"/>
      <c r="M36" s="604"/>
      <c r="N36" s="315"/>
      <c r="O36" s="212"/>
      <c r="P36" s="441">
        <f t="shared" si="15"/>
        <v>0</v>
      </c>
      <c r="Q36" s="95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1</v>
      </c>
      <c r="R36" s="95"/>
      <c r="S36" s="96"/>
      <c r="T36" s="422">
        <f>T35-L36</f>
        <v>-2.7777777777778012E-2</v>
      </c>
      <c r="U36" s="97"/>
      <c r="V36" s="77">
        <v>0.45833333333333331</v>
      </c>
      <c r="W36" s="192">
        <v>45286</v>
      </c>
      <c r="X36" s="709"/>
      <c r="Y36" s="361" t="str">
        <f>IF(M36="O",P36 - AA36,"0:00:00")</f>
        <v>0:00:00</v>
      </c>
      <c r="Z36" s="152" t="str">
        <f t="shared" si="16"/>
        <v>0:00:00</v>
      </c>
      <c r="AA36" s="140" t="str">
        <f>IF(P36="M",Q36-P36,"0:00:00")</f>
        <v>0:00:00</v>
      </c>
      <c r="AB36" s="158">
        <f>SUM(Y36:Z36)</f>
        <v>0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592"/>
      <c r="B37" s="591"/>
      <c r="C37" s="591"/>
      <c r="D37" s="591"/>
      <c r="E37" s="588"/>
      <c r="F37" s="588"/>
      <c r="G37" s="588"/>
      <c r="H37" s="588"/>
      <c r="I37" s="591"/>
      <c r="J37" s="589"/>
      <c r="K37" s="589"/>
      <c r="L37" s="590"/>
      <c r="M37" s="400"/>
      <c r="N37" s="315"/>
      <c r="O37" s="212"/>
      <c r="P37" s="448">
        <f t="shared" si="15"/>
        <v>0</v>
      </c>
      <c r="Q37" s="95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1</v>
      </c>
      <c r="R37" s="95"/>
      <c r="S37" s="96"/>
      <c r="T37" s="422">
        <f>T36-L37</f>
        <v>-2.7777777777778012E-2</v>
      </c>
      <c r="U37" s="97"/>
      <c r="V37" s="77">
        <v>0.33333333333333331</v>
      </c>
      <c r="W37" s="192">
        <v>45287</v>
      </c>
      <c r="X37" s="709"/>
      <c r="Y37" s="142" t="str">
        <f>IF(M37="O",P37 - AA37,"0:00:00")</f>
        <v>0:00:00</v>
      </c>
      <c r="Z37" s="140" t="str">
        <f t="shared" si="16"/>
        <v>0:00:00</v>
      </c>
      <c r="AA37" s="140" t="str">
        <f>IF(P37="M",Q37-P37,"0:00:00")</f>
        <v>0:00:00</v>
      </c>
      <c r="AB37" s="158">
        <f>SUM(Y37:Z37)</f>
        <v>0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592"/>
      <c r="B38" s="591"/>
      <c r="C38" s="591"/>
      <c r="D38" s="591"/>
      <c r="E38" s="588"/>
      <c r="F38" s="588"/>
      <c r="G38" s="588"/>
      <c r="H38" s="588"/>
      <c r="I38" s="591"/>
      <c r="J38" s="589"/>
      <c r="K38" s="589"/>
      <c r="L38" s="590"/>
      <c r="M38" s="400"/>
      <c r="N38" s="315"/>
      <c r="O38" s="212"/>
      <c r="P38" s="449">
        <f t="shared" si="15"/>
        <v>0</v>
      </c>
      <c r="Q38" s="101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1</v>
      </c>
      <c r="R38" s="101"/>
      <c r="S38" s="102"/>
      <c r="T38" s="442">
        <f>T37-L38</f>
        <v>-2.7777777777778012E-2</v>
      </c>
      <c r="U38" s="97"/>
      <c r="V38" s="77">
        <v>0.45833333333333331</v>
      </c>
      <c r="W38" s="192">
        <v>45288</v>
      </c>
      <c r="X38" s="709"/>
      <c r="Y38" s="343" t="str">
        <f>IF(M38="O",P38 - AA38,"0:00:00")</f>
        <v>0:00:00</v>
      </c>
      <c r="Z38" s="344" t="str">
        <f t="shared" si="16"/>
        <v>0:00:00</v>
      </c>
      <c r="AA38" s="140" t="str">
        <f>IF(P38="M",Q38-P38,"0:00:00")</f>
        <v>0:00:00</v>
      </c>
      <c r="AB38" s="158">
        <f>SUM(Y38:Z38)</f>
        <v>0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592"/>
      <c r="B39" s="591"/>
      <c r="C39" s="591"/>
      <c r="D39" s="591"/>
      <c r="E39" s="588"/>
      <c r="F39" s="588"/>
      <c r="G39" s="588"/>
      <c r="H39" s="588"/>
      <c r="I39" s="591"/>
      <c r="J39" s="597"/>
      <c r="K39" s="589"/>
      <c r="L39" s="590"/>
      <c r="M39" s="401"/>
      <c r="N39" s="315"/>
      <c r="O39" s="212"/>
      <c r="P39" s="449">
        <f t="shared" si="15"/>
        <v>0</v>
      </c>
      <c r="Q39" s="92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92"/>
      <c r="S39" s="93"/>
      <c r="T39" s="443">
        <f>T38-L39</f>
        <v>-2.7777777777778012E-2</v>
      </c>
      <c r="U39" s="94"/>
      <c r="V39" s="78"/>
      <c r="W39" s="192">
        <v>45289</v>
      </c>
      <c r="X39" s="709"/>
      <c r="Y39" s="343" t="str">
        <f>IF(M39="O",P39 - AA39,"0:00:00")</f>
        <v>0:00:00</v>
      </c>
      <c r="Z39" s="344" t="str">
        <f t="shared" si="16"/>
        <v>0:00:00</v>
      </c>
      <c r="AA39" s="152" t="str">
        <f>IF(P39="M",Q39-P39,"0:00:00")</f>
        <v>0:00:00</v>
      </c>
      <c r="AB39" s="164">
        <f>SUM(Y39:Z39)</f>
        <v>0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391">
        <f>SUM(L35:L39)</f>
        <v>0.27638888888888896</v>
      </c>
      <c r="M40" s="406"/>
      <c r="N40" s="132"/>
      <c r="O40" s="133"/>
      <c r="P40" s="450">
        <f>SUM(P35:P39)</f>
        <v>0.28125</v>
      </c>
      <c r="Q40" s="63"/>
      <c r="R40" s="63"/>
      <c r="S40" s="63"/>
      <c r="T40" s="63"/>
      <c r="U40" s="387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41"/>
      <c r="B42" s="42"/>
      <c r="C42" s="42"/>
      <c r="D42" s="42"/>
      <c r="E42" s="42"/>
      <c r="F42" s="42"/>
      <c r="G42" s="42"/>
      <c r="H42" s="42"/>
      <c r="I42" s="42"/>
      <c r="J42" s="43"/>
      <c r="K42" s="43"/>
      <c r="L42" s="44"/>
      <c r="M42" s="67"/>
      <c r="N42" s="67"/>
      <c r="O42" s="67"/>
      <c r="X42" s="148"/>
      <c r="Y42" s="168">
        <f>SUM(Y7:Y11,Y14:Y18,Y21:Y25,Y28:Y32,Y35:Y39)</f>
        <v>1.2395833333333333</v>
      </c>
      <c r="Z42" s="169">
        <f>SUM(Z7:Z11,Z14:Z18,Z21:Z25,Z28:Z32,Z35:Z39)</f>
        <v>1.125</v>
      </c>
      <c r="AA42" s="169">
        <f>SUM(AA7:AA11,AA14:AA18,AA21:AA25,AA28:AA32,AA35:AA39)</f>
        <v>0</v>
      </c>
      <c r="AB42" s="170">
        <f>SUM(AB7:AB11,AB14:AB18,AB21:AB25,AB28:AB32,AB35:AB39)</f>
        <v>2.364583333333333</v>
      </c>
      <c r="AC42" s="109"/>
      <c r="AD42" s="154"/>
    </row>
    <row r="43" spans="1:30" ht="13.5" thickBot="1" x14ac:dyDescent="0.25">
      <c r="A43" s="46" t="s">
        <v>24</v>
      </c>
      <c r="B43" s="47"/>
      <c r="C43" s="47"/>
      <c r="D43" s="47"/>
      <c r="E43" s="47"/>
      <c r="F43" s="47"/>
      <c r="G43" s="47"/>
      <c r="H43" s="47"/>
      <c r="I43" s="47"/>
      <c r="J43" s="48"/>
      <c r="K43" s="48"/>
      <c r="L43" s="49">
        <f>SUM(L33,L26,L19,L12,L40)</f>
        <v>2.6562500000000004</v>
      </c>
      <c r="M43" s="185"/>
      <c r="N43" s="185"/>
      <c r="O43" s="185"/>
      <c r="P43" s="83">
        <f>SUM(P12,P19,P26,P33,P40)</f>
        <v>2.65625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0.46666666666666656</v>
      </c>
      <c r="Z44" s="155">
        <f>Z42/C47</f>
        <v>0.42352941176470582</v>
      </c>
      <c r="AA44" s="156">
        <f>AA42/C47</f>
        <v>0</v>
      </c>
      <c r="AB44" s="180">
        <f>SUM(Y44:AA44)</f>
        <v>0.89019607843137238</v>
      </c>
    </row>
    <row r="45" spans="1:30" ht="18.75" thickBot="1" x14ac:dyDescent="0.25">
      <c r="A45" s="15"/>
      <c r="B45" s="16"/>
      <c r="C45" s="16"/>
      <c r="D45" s="16"/>
      <c r="E45" s="16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40" t="s">
        <v>25</v>
      </c>
      <c r="B46" s="741"/>
      <c r="C46" s="18">
        <f>J1*J2</f>
        <v>2.625</v>
      </c>
      <c r="D46" s="18"/>
      <c r="E46" s="18"/>
      <c r="F46" s="19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0"/>
      <c r="B47" s="263" t="s">
        <v>26</v>
      </c>
      <c r="C47" s="22">
        <f>L43</f>
        <v>2.6562500000000004</v>
      </c>
      <c r="D47" s="22"/>
      <c r="E47" s="22"/>
      <c r="F47" s="23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0"/>
      <c r="B48" s="263" t="s">
        <v>27</v>
      </c>
      <c r="C48" s="18" t="str">
        <f>IF(C46&gt;C47,C46-C47,"00:00:00")</f>
        <v>00:00:00</v>
      </c>
      <c r="D48" s="22"/>
      <c r="E48" s="22"/>
      <c r="F48" s="24"/>
      <c r="K48" s="35"/>
      <c r="P48" s="215"/>
      <c r="Q48" s="216"/>
      <c r="R48" s="216"/>
      <c r="S48" s="216"/>
      <c r="T48" s="264"/>
      <c r="U48" s="216"/>
    </row>
    <row r="49" spans="1:30" ht="13.5" thickBot="1" x14ac:dyDescent="0.25">
      <c r="A49" s="20"/>
      <c r="B49" s="263" t="s">
        <v>28</v>
      </c>
      <c r="C49" s="18">
        <f>IF(C47&gt;C46,C47-C46,"00:00:00")</f>
        <v>3.1250000000000444E-2</v>
      </c>
      <c r="D49" s="25"/>
      <c r="E49" s="26" t="s">
        <v>29</v>
      </c>
      <c r="F49" s="19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15"/>
      <c r="B50" s="16"/>
      <c r="C50" s="16"/>
      <c r="D50" s="16"/>
      <c r="E50" s="16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0"/>
      <c r="B51" s="263" t="s">
        <v>30</v>
      </c>
      <c r="C51" s="68">
        <v>0</v>
      </c>
      <c r="D51" s="18"/>
      <c r="E51" s="27" t="s">
        <v>31</v>
      </c>
      <c r="F51" s="28" t="str">
        <f>IF(C51&gt;C52,C51-C52,"00:00:00")</f>
        <v>00:00:00</v>
      </c>
    </row>
    <row r="52" spans="1:30" ht="13.5" thickBot="1" x14ac:dyDescent="0.25">
      <c r="A52" s="20"/>
      <c r="B52" s="263" t="s">
        <v>32</v>
      </c>
      <c r="C52" s="68">
        <v>0</v>
      </c>
      <c r="D52" s="18"/>
      <c r="E52" s="27" t="s">
        <v>33</v>
      </c>
      <c r="F52" s="28" t="str">
        <f>IF(C52&gt;C51,C52-C51,"00:00:00")</f>
        <v>00:00:00</v>
      </c>
    </row>
    <row r="53" spans="1:30" ht="13.5" thickBot="1" x14ac:dyDescent="0.25">
      <c r="A53" s="712" t="s">
        <v>34</v>
      </c>
      <c r="B53" s="736"/>
      <c r="C53" s="38">
        <f>Horas!E3-Agosto!J1</f>
        <v>12</v>
      </c>
      <c r="D53" s="737" t="s">
        <v>35</v>
      </c>
      <c r="E53" s="737"/>
      <c r="F53" s="39">
        <v>0</v>
      </c>
      <c r="P53" s="66"/>
      <c r="Q53" s="2"/>
      <c r="R53" s="2"/>
    </row>
    <row r="54" spans="1:30" ht="13.5" thickBot="1" x14ac:dyDescent="0.25">
      <c r="A54" s="715" t="s">
        <v>36</v>
      </c>
      <c r="B54" s="738"/>
      <c r="C54" s="36">
        <v>0</v>
      </c>
      <c r="D54" s="739" t="s">
        <v>37</v>
      </c>
      <c r="E54" s="739"/>
      <c r="F54" s="37">
        <v>0</v>
      </c>
      <c r="P54" s="66"/>
      <c r="Q54" s="2"/>
      <c r="R54" s="2"/>
    </row>
    <row r="55" spans="1:30" ht="13.5" thickBot="1" x14ac:dyDescent="0.25">
      <c r="A55" s="15"/>
      <c r="B55" s="16"/>
      <c r="C55" s="16"/>
      <c r="D55" s="16"/>
      <c r="E55" s="16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A54:B54"/>
    <mergeCell ref="D54:E54"/>
    <mergeCell ref="A46:B46"/>
    <mergeCell ref="Q46:Q47"/>
    <mergeCell ref="R46:R47"/>
    <mergeCell ref="S46:S47"/>
    <mergeCell ref="T46:T47"/>
    <mergeCell ref="A53:B53"/>
    <mergeCell ref="D53:E53"/>
    <mergeCell ref="P19:T19"/>
    <mergeCell ref="X21:X25"/>
    <mergeCell ref="P26:T26"/>
    <mergeCell ref="X28:X32"/>
    <mergeCell ref="P33:T33"/>
    <mergeCell ref="X35:X39"/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>
    <pageSetUpPr fitToPage="1"/>
  </sheetPr>
  <dimension ref="A1:AE59"/>
  <sheetViews>
    <sheetView zoomScaleNormal="100" workbookViewId="0">
      <pane ySplit="6" topLeftCell="A16" activePane="bottomLeft" state="frozen"/>
      <selection pane="bottomLeft" activeCell="L36" sqref="L36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5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31" t="s">
        <v>0</v>
      </c>
      <c r="B1" s="726" t="s">
        <v>38</v>
      </c>
      <c r="C1" s="727"/>
      <c r="D1" s="728"/>
      <c r="E1" s="29" t="s">
        <v>1</v>
      </c>
      <c r="F1" s="10">
        <v>2.0833333333333329E-2</v>
      </c>
      <c r="I1" s="6" t="s">
        <v>2</v>
      </c>
      <c r="J1" s="7">
        <v>11</v>
      </c>
      <c r="K1" s="13" t="s">
        <v>2</v>
      </c>
      <c r="L1" s="618">
        <v>11</v>
      </c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32" t="s">
        <v>3</v>
      </c>
      <c r="B2" s="729"/>
      <c r="C2" s="730"/>
      <c r="D2" s="731"/>
      <c r="E2" s="30" t="s">
        <v>4</v>
      </c>
      <c r="F2" s="11">
        <v>1.3888888888888888E-2</v>
      </c>
      <c r="I2" s="8" t="s">
        <v>5</v>
      </c>
      <c r="J2" s="9">
        <v>0.33333333333333331</v>
      </c>
      <c r="K2" s="611" t="s">
        <v>5</v>
      </c>
      <c r="L2" s="619">
        <v>0.29166666666666669</v>
      </c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33" t="s">
        <v>6</v>
      </c>
      <c r="B3" s="732">
        <v>46266</v>
      </c>
      <c r="C3" s="733"/>
      <c r="D3" s="734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07"/>
      <c r="M4" s="506"/>
      <c r="N4" s="735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329" t="s">
        <v>7</v>
      </c>
      <c r="B5" s="330" t="s">
        <v>8</v>
      </c>
      <c r="C5" s="330" t="s">
        <v>9</v>
      </c>
      <c r="D5" s="330" t="s">
        <v>10</v>
      </c>
      <c r="E5" s="330" t="s">
        <v>11</v>
      </c>
      <c r="F5" s="330" t="s">
        <v>12</v>
      </c>
      <c r="G5" s="330" t="s">
        <v>13</v>
      </c>
      <c r="H5" s="330" t="s">
        <v>14</v>
      </c>
      <c r="I5" s="330" t="s">
        <v>15</v>
      </c>
      <c r="J5" s="330" t="s">
        <v>16</v>
      </c>
      <c r="K5" s="330" t="s">
        <v>17</v>
      </c>
      <c r="L5" s="331" t="s">
        <v>18</v>
      </c>
      <c r="M5" s="394" t="s">
        <v>44</v>
      </c>
      <c r="N5" s="332" t="s">
        <v>12</v>
      </c>
      <c r="O5" s="333" t="s">
        <v>15</v>
      </c>
      <c r="T5" s="55">
        <f>C46</f>
        <v>6.875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334"/>
      <c r="B6" s="327"/>
      <c r="C6" s="327"/>
      <c r="D6" s="327"/>
      <c r="E6" s="327"/>
      <c r="F6" s="327"/>
      <c r="G6" s="327"/>
      <c r="H6" s="327"/>
      <c r="I6" s="327"/>
      <c r="J6" s="328"/>
      <c r="K6" s="328"/>
      <c r="L6" s="390"/>
      <c r="M6" s="411"/>
      <c r="N6" s="130"/>
      <c r="O6" s="131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178" t="s">
        <v>49</v>
      </c>
      <c r="AA6" s="178" t="s">
        <v>50</v>
      </c>
      <c r="AB6" s="179" t="s">
        <v>51</v>
      </c>
      <c r="AC6" s="104"/>
      <c r="AD6" s="186"/>
    </row>
    <row r="7" spans="1:31" ht="12.75" customHeight="1" thickBot="1" x14ac:dyDescent="0.25">
      <c r="A7" s="661"/>
      <c r="B7" s="668"/>
      <c r="C7" s="668"/>
      <c r="D7" s="668"/>
      <c r="E7" s="662"/>
      <c r="F7" s="662"/>
      <c r="G7" s="662"/>
      <c r="H7" s="662"/>
      <c r="I7" s="668"/>
      <c r="J7" s="669"/>
      <c r="K7" s="669"/>
      <c r="L7" s="663"/>
      <c r="M7" s="412"/>
      <c r="N7" s="219"/>
      <c r="O7" s="212"/>
      <c r="P7" s="420">
        <f>MROUND(L7,"0:15")</f>
        <v>0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1</v>
      </c>
      <c r="R7" s="71"/>
      <c r="S7" s="72"/>
      <c r="T7" s="421">
        <f>T5-L7</f>
        <v>6.875</v>
      </c>
      <c r="U7" s="74"/>
      <c r="V7" s="76">
        <v>0</v>
      </c>
      <c r="W7" s="192"/>
      <c r="X7" s="701"/>
      <c r="Y7" s="142" t="str">
        <f>IF(M7="O",P7 - AA7,"0:00:00")</f>
        <v>0:00:00</v>
      </c>
      <c r="Z7" s="138" t="str">
        <f>IF(M7="C",P7,"0:00:00")</f>
        <v>0:00:00</v>
      </c>
      <c r="AA7" s="138" t="str">
        <f>IF(P7="M",Q7-P7,"0:00:00")</f>
        <v>0:00:00</v>
      </c>
      <c r="AB7" s="157">
        <f>SUM(Y7:Z7)</f>
        <v>0</v>
      </c>
      <c r="AC7" s="139">
        <v>0</v>
      </c>
      <c r="AD7" s="188"/>
      <c r="AE7" s="256"/>
    </row>
    <row r="8" spans="1:31" ht="12.75" customHeight="1" thickBot="1" x14ac:dyDescent="0.25">
      <c r="A8" s="225">
        <v>46266</v>
      </c>
      <c r="B8" s="309">
        <v>0.35416666666666669</v>
      </c>
      <c r="C8" s="309">
        <v>0.54375000000000007</v>
      </c>
      <c r="D8" s="309">
        <v>0.55833333333333335</v>
      </c>
      <c r="E8" s="266"/>
      <c r="F8" s="266"/>
      <c r="G8" s="266"/>
      <c r="H8" s="266"/>
      <c r="I8" s="309">
        <v>0.65694444444444444</v>
      </c>
      <c r="J8" s="265">
        <v>0</v>
      </c>
      <c r="K8" s="265">
        <v>6.9444444444444447E-4</v>
      </c>
      <c r="L8" s="319">
        <f>(I8-B8)-K8-(H8-G8)-J8</f>
        <v>0.30208333333333331</v>
      </c>
      <c r="M8" s="412" t="s">
        <v>53</v>
      </c>
      <c r="N8" s="315"/>
      <c r="O8" s="212"/>
      <c r="P8" s="420">
        <f>MROUND(L8,"0:15")</f>
        <v>0.30208333333333331</v>
      </c>
      <c r="Q8" s="95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1</v>
      </c>
      <c r="R8" s="95"/>
      <c r="S8" s="96"/>
      <c r="T8" s="422">
        <f>T7-L8</f>
        <v>6.572916666666667</v>
      </c>
      <c r="U8" s="97"/>
      <c r="V8" s="77">
        <v>0</v>
      </c>
      <c r="W8" s="193"/>
      <c r="X8" s="689"/>
      <c r="Y8" s="142" t="str">
        <f>IF(M8="O",P8 - AA8,"0:00:00")</f>
        <v>0:00:00</v>
      </c>
      <c r="Z8" s="140">
        <f>IF(M8="C",P8,"0:00:00")</f>
        <v>0.30208333333333331</v>
      </c>
      <c r="AA8" s="140">
        <v>0</v>
      </c>
      <c r="AB8" s="158">
        <f>SUM(Y8:Z8)</f>
        <v>0.30208333333333331</v>
      </c>
      <c r="AC8" s="141">
        <v>0</v>
      </c>
      <c r="AD8" s="189"/>
    </row>
    <row r="9" spans="1:31" s="1" customFormat="1" ht="12.75" customHeight="1" thickBot="1" x14ac:dyDescent="0.25">
      <c r="A9" s="225">
        <v>46267</v>
      </c>
      <c r="B9" s="309">
        <v>0.30416666666666664</v>
      </c>
      <c r="C9" s="309">
        <v>0.47986111111111113</v>
      </c>
      <c r="D9" s="309">
        <v>0.49305555555555558</v>
      </c>
      <c r="E9" s="266"/>
      <c r="F9" s="266"/>
      <c r="G9" s="266"/>
      <c r="H9" s="266"/>
      <c r="I9" s="309">
        <v>0.60902777777777783</v>
      </c>
      <c r="J9" s="265">
        <f t="shared" ref="J9:J10" si="0">F9-E9</f>
        <v>0</v>
      </c>
      <c r="K9" s="265">
        <f>IF((D9-C9)&lt;=$F$2,0,(D9-C9)-$F$2)</f>
        <v>0</v>
      </c>
      <c r="L9" s="319">
        <f>(I9-B9)-K9-(H9-G9)-J9</f>
        <v>0.30486111111111119</v>
      </c>
      <c r="M9" s="413" t="s">
        <v>45</v>
      </c>
      <c r="N9" s="315"/>
      <c r="O9" s="212"/>
      <c r="P9" s="420">
        <f>MROUND(L9,"0:15")</f>
        <v>0.30208333333333331</v>
      </c>
      <c r="Q9" s="8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5</v>
      </c>
      <c r="R9" s="84"/>
      <c r="S9" s="85"/>
      <c r="T9" s="423">
        <f>T8-L9</f>
        <v>6.2680555555555557</v>
      </c>
      <c r="U9" s="366"/>
      <c r="V9" s="182">
        <v>0</v>
      </c>
      <c r="W9" s="194"/>
      <c r="X9" s="689"/>
      <c r="Y9" s="375">
        <f>IF(M9="O",P9 - AA9,"0:00:00")</f>
        <v>0.30208333333333331</v>
      </c>
      <c r="Z9" s="376" t="str">
        <f>IF(M9="C",P9,"0:00:00")</f>
        <v>0:00:00</v>
      </c>
      <c r="AA9" s="367" t="str">
        <f>IF(P9="M",Q9-P9,"0:00:00")</f>
        <v>0:00:00</v>
      </c>
      <c r="AB9" s="368">
        <f>SUM(Y9:Z9)</f>
        <v>0.30208333333333331</v>
      </c>
      <c r="AC9" s="195">
        <v>0</v>
      </c>
      <c r="AD9" s="196" t="b">
        <f>V9=AC9</f>
        <v>1</v>
      </c>
    </row>
    <row r="10" spans="1:31" ht="12.75" customHeight="1" thickBot="1" x14ac:dyDescent="0.25">
      <c r="A10" s="225">
        <v>46268</v>
      </c>
      <c r="B10" s="309">
        <v>0.33958333333333335</v>
      </c>
      <c r="C10" s="309">
        <v>0.54861111111111105</v>
      </c>
      <c r="D10" s="309">
        <v>0.5625</v>
      </c>
      <c r="E10" s="266"/>
      <c r="F10" s="266"/>
      <c r="G10" s="266"/>
      <c r="H10" s="266"/>
      <c r="I10" s="309">
        <v>0.67083333333333339</v>
      </c>
      <c r="J10" s="265">
        <f t="shared" si="0"/>
        <v>0</v>
      </c>
      <c r="K10" s="265">
        <f>IF((D10-C10)&lt;=$F$2,0,(D10-C10)-$F$2)</f>
        <v>6.2450045135165055E-17</v>
      </c>
      <c r="L10" s="319">
        <f>(I10-B10)-K10-(H10-G10)-J10</f>
        <v>0.33124999999999999</v>
      </c>
      <c r="M10" s="413" t="s">
        <v>53</v>
      </c>
      <c r="N10" s="316"/>
      <c r="O10" s="214"/>
      <c r="P10" s="420">
        <f>MROUND(L10,"0:15")</f>
        <v>0.33333333333333331</v>
      </c>
      <c r="Q10" s="8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2</v>
      </c>
      <c r="R10" s="84"/>
      <c r="S10" s="85"/>
      <c r="T10" s="423">
        <f>T9-L10</f>
        <v>5.9368055555555559</v>
      </c>
      <c r="U10" s="366"/>
      <c r="V10" s="182">
        <v>0.45833333333333331</v>
      </c>
      <c r="W10" s="194"/>
      <c r="X10" s="689"/>
      <c r="Y10" s="142" t="str">
        <f>IF(M10="O",P10 - AA10,"0:00:00")</f>
        <v>0:00:00</v>
      </c>
      <c r="Z10" s="379">
        <f>IF(M10="C",P10,"0:00:00")</f>
        <v>0.33333333333333331</v>
      </c>
      <c r="AA10" s="140" t="str">
        <f>IF(P10="M",Q10-P10,"0:00:00")</f>
        <v>0:00:00</v>
      </c>
      <c r="AB10" s="158">
        <f>SUM(Y10:Z10)</f>
        <v>0.33333333333333331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225">
        <v>46269</v>
      </c>
      <c r="B11" s="309">
        <v>0.32569444444444445</v>
      </c>
      <c r="C11" s="309">
        <v>0.53749999999999998</v>
      </c>
      <c r="D11" s="309">
        <v>0.55138888888888882</v>
      </c>
      <c r="E11" s="309"/>
      <c r="F11" s="309"/>
      <c r="G11" s="309"/>
      <c r="H11" s="309"/>
      <c r="I11" s="309">
        <v>0.66875000000000007</v>
      </c>
      <c r="J11" s="265">
        <v>0</v>
      </c>
      <c r="K11" s="265">
        <f>IF((D11-C11)&lt;=$F$2,0,(D11-C11)-$F$2)</f>
        <v>0</v>
      </c>
      <c r="L11" s="319">
        <f>(I11-B11)-K11-(H11-G11)-J11</f>
        <v>0.34305555555555561</v>
      </c>
      <c r="M11" s="414" t="s">
        <v>53</v>
      </c>
      <c r="N11" s="315"/>
      <c r="O11" s="212"/>
      <c r="P11" s="424">
        <f>MROUND(L11,"0:15")</f>
        <v>0.34375</v>
      </c>
      <c r="Q11" s="382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1</v>
      </c>
      <c r="R11" s="382"/>
      <c r="S11" s="383"/>
      <c r="T11" s="425">
        <f>T10-L11</f>
        <v>5.59375</v>
      </c>
      <c r="U11" s="369"/>
      <c r="V11" s="182">
        <v>0.29166666666666669</v>
      </c>
      <c r="W11" s="194">
        <v>45261</v>
      </c>
      <c r="X11" s="702"/>
      <c r="Y11" s="361" t="str">
        <f>IF(M11="O",P11 - AA11,"0:00:00")</f>
        <v>0:00:00</v>
      </c>
      <c r="Z11" s="379">
        <f>IF(M11="C",P11,"0:00:00")</f>
        <v>0.34375</v>
      </c>
      <c r="AA11" s="143" t="str">
        <f>IF(P11="M",Q11-P11,"0:00:00")</f>
        <v>0:00:00</v>
      </c>
      <c r="AB11" s="159">
        <f>SUM(Y11:Z11)</f>
        <v>0.34375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1.2812500000000002</v>
      </c>
      <c r="M12" s="396"/>
      <c r="N12" s="128"/>
      <c r="O12" s="129"/>
      <c r="P12" s="706">
        <f>SUM(P7:P11)</f>
        <v>1.28125</v>
      </c>
      <c r="Q12" s="707"/>
      <c r="R12" s="707"/>
      <c r="S12" s="707"/>
      <c r="T12" s="708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415"/>
      <c r="N13" s="130"/>
      <c r="O13" s="131"/>
      <c r="P13" s="426"/>
      <c r="Q13" s="338">
        <f>Q11</f>
        <v>1</v>
      </c>
      <c r="R13" s="338"/>
      <c r="S13" s="339"/>
      <c r="T13" s="427"/>
      <c r="U13" s="374"/>
      <c r="V13" s="35"/>
      <c r="W13" s="69"/>
      <c r="X13" s="148"/>
      <c r="Y13" s="160"/>
      <c r="Z13" s="161"/>
      <c r="AA13" s="162"/>
      <c r="AB13" s="163"/>
      <c r="AC13" s="146"/>
      <c r="AD13" s="149"/>
    </row>
    <row r="14" spans="1:31" s="1" customFormat="1" ht="12" thickBot="1" x14ac:dyDescent="0.25">
      <c r="A14" s="226">
        <v>46272</v>
      </c>
      <c r="B14" s="309">
        <v>0.30138888888888887</v>
      </c>
      <c r="C14" s="309">
        <v>0.50069444444444444</v>
      </c>
      <c r="D14" s="309">
        <v>0.51458333333333328</v>
      </c>
      <c r="E14" s="309"/>
      <c r="F14" s="309"/>
      <c r="G14" s="309"/>
      <c r="H14" s="309"/>
      <c r="I14" s="309">
        <v>0.61041666666666672</v>
      </c>
      <c r="J14" s="265">
        <f>F14-E14</f>
        <v>0</v>
      </c>
      <c r="K14" s="265">
        <f>IF((D14-C14)&lt;=$F$2,0,(D14-C14)-$F$2)</f>
        <v>0</v>
      </c>
      <c r="L14" s="319">
        <f>(I14-B14)-K14-(H14-G14)-J14</f>
        <v>0.30902777777777785</v>
      </c>
      <c r="M14" s="412" t="s">
        <v>45</v>
      </c>
      <c r="N14" s="211"/>
      <c r="O14" s="212"/>
      <c r="P14" s="428">
        <f>MROUND(L14,"0:15")</f>
        <v>0.3125</v>
      </c>
      <c r="Q14" s="201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-4</v>
      </c>
      <c r="R14" s="201"/>
      <c r="S14" s="202"/>
      <c r="T14" s="429">
        <f>T11-L14</f>
        <v>5.2847222222222223</v>
      </c>
      <c r="U14" s="370"/>
      <c r="V14" s="205">
        <v>0.30208333333333331</v>
      </c>
      <c r="W14" s="204">
        <v>45264</v>
      </c>
      <c r="X14" s="682"/>
      <c r="Y14" s="345">
        <f>IF(M14="O",P14 - AA14,"0:00:00")</f>
        <v>0.3125</v>
      </c>
      <c r="Z14" s="349" t="str">
        <f>IF(M14="C",P14,"0:00:00")</f>
        <v>0:00:00</v>
      </c>
      <c r="AA14" s="138" t="str">
        <f>IF(P14="M",Q14-P14,"0:00:00")</f>
        <v>0:00:00</v>
      </c>
      <c r="AB14" s="157">
        <f>SUM(Y14:Z14)</f>
        <v>0.3125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226">
        <v>46273</v>
      </c>
      <c r="B15" s="309">
        <v>0.35625000000000001</v>
      </c>
      <c r="C15" s="309">
        <v>0.54861111111111105</v>
      </c>
      <c r="D15" s="309">
        <v>0.5625</v>
      </c>
      <c r="E15" s="266"/>
      <c r="F15" s="266"/>
      <c r="G15" s="266"/>
      <c r="H15" s="266"/>
      <c r="I15" s="309">
        <v>0.62013888888888891</v>
      </c>
      <c r="J15" s="265">
        <v>0</v>
      </c>
      <c r="K15" s="265">
        <f>IF((D15-C15)&lt;=$F$2,0,(D15-C15)-$F$2)</f>
        <v>6.2450045135165055E-17</v>
      </c>
      <c r="L15" s="319">
        <f>(I15-B15)-K15-(H15-G15)-J15</f>
        <v>0.26388888888888884</v>
      </c>
      <c r="M15" s="412" t="s">
        <v>53</v>
      </c>
      <c r="N15" s="211"/>
      <c r="O15" s="212"/>
      <c r="P15" s="428">
        <f>MROUND(L15,"0:15")</f>
        <v>0.26041666666666663</v>
      </c>
      <c r="Q15" s="8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1</v>
      </c>
      <c r="R15" s="84"/>
      <c r="S15" s="85"/>
      <c r="T15" s="423">
        <f>T14-L15</f>
        <v>5.0208333333333339</v>
      </c>
      <c r="U15" s="366"/>
      <c r="V15" s="206">
        <v>0.25</v>
      </c>
      <c r="W15" s="204">
        <v>45265</v>
      </c>
      <c r="X15" s="682"/>
      <c r="Y15" s="361" t="str">
        <f>IF(M15="O",P15 - AA15,"0:00:00")</f>
        <v>0:00:00</v>
      </c>
      <c r="Z15" s="152">
        <f>IF(M15="C",P15,"0:00:00")</f>
        <v>0.26041666666666663</v>
      </c>
      <c r="AA15" s="152" t="str">
        <f>IF(P15="M",Q15-P15,"0:00:00")</f>
        <v>0:00:00</v>
      </c>
      <c r="AB15" s="164">
        <f>SUM(Y15:Z15)</f>
        <v>0.26041666666666663</v>
      </c>
      <c r="AC15" s="107">
        <v>0.25</v>
      </c>
      <c r="AD15" s="189" t="b">
        <f>V15=AC15</f>
        <v>1</v>
      </c>
    </row>
    <row r="16" spans="1:31" s="1" customFormat="1" ht="12.75" customHeight="1" thickBot="1" x14ac:dyDescent="0.25">
      <c r="A16" s="226">
        <v>46274</v>
      </c>
      <c r="B16" s="309">
        <v>0.30208333333333331</v>
      </c>
      <c r="C16" s="309">
        <v>0.48333333333333334</v>
      </c>
      <c r="D16" s="309">
        <v>0.49791666666666662</v>
      </c>
      <c r="E16" s="266"/>
      <c r="F16" s="266"/>
      <c r="G16" s="266"/>
      <c r="H16" s="266"/>
      <c r="I16" s="309">
        <v>0.61249999999999993</v>
      </c>
      <c r="J16" s="265">
        <f t="shared" ref="J16:J17" si="1">F16-E16</f>
        <v>0</v>
      </c>
      <c r="K16" s="265">
        <f>IF((D16-C16)&lt;=$F$2,0,(D16-C16)-$F$2)</f>
        <v>6.9444444444439341E-4</v>
      </c>
      <c r="L16" s="319">
        <f>(I16-B16)-K16-(H16-G16)-J16</f>
        <v>0.30972222222222223</v>
      </c>
      <c r="M16" s="412" t="s">
        <v>45</v>
      </c>
      <c r="N16" s="211"/>
      <c r="O16" s="212"/>
      <c r="P16" s="430">
        <f>MROUND(L16,"0:15")</f>
        <v>0.3125</v>
      </c>
      <c r="Q16" s="95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-3</v>
      </c>
      <c r="R16" s="95"/>
      <c r="S16" s="96"/>
      <c r="T16" s="431">
        <f>T15-P16</f>
        <v>4.7083333333333339</v>
      </c>
      <c r="U16" s="97"/>
      <c r="V16" s="206">
        <v>0.23958333333333334</v>
      </c>
      <c r="W16" s="204">
        <v>45266</v>
      </c>
      <c r="X16" s="682"/>
      <c r="Y16" s="361">
        <f>IF(M16="O",P16 - AA16,"0:00:00")</f>
        <v>0.3125</v>
      </c>
      <c r="Z16" s="152" t="str">
        <f>IF(M16="C",P16,"0:00:00")</f>
        <v>0:00:00</v>
      </c>
      <c r="AA16" s="152" t="str">
        <f>IF(P16="M",Q16-P16,"0:00:00")</f>
        <v>0:00:00</v>
      </c>
      <c r="AB16" s="152">
        <f>SUM(Y16:Z16)</f>
        <v>0.3125</v>
      </c>
      <c r="AC16" s="107">
        <v>0.23958333333333334</v>
      </c>
      <c r="AD16" s="189" t="b">
        <f>V16=AC16</f>
        <v>1</v>
      </c>
    </row>
    <row r="17" spans="1:30" ht="12.75" customHeight="1" thickBot="1" x14ac:dyDescent="0.25">
      <c r="A17" s="226">
        <v>46275</v>
      </c>
      <c r="B17" s="309">
        <v>0.30416666666666664</v>
      </c>
      <c r="C17" s="309">
        <v>0.49583333333333335</v>
      </c>
      <c r="D17" s="309">
        <v>0.50972222222222219</v>
      </c>
      <c r="E17" s="266"/>
      <c r="F17" s="266"/>
      <c r="G17" s="266"/>
      <c r="H17" s="266"/>
      <c r="I17" s="309">
        <v>0.60416666666666663</v>
      </c>
      <c r="J17" s="265">
        <f t="shared" si="1"/>
        <v>0</v>
      </c>
      <c r="K17" s="265">
        <f>IF((D17-C17)&lt;=$F$2,0,(D17-C17)-$F$2)</f>
        <v>0</v>
      </c>
      <c r="L17" s="319">
        <f>(I17-B17)-K17-(H17-G17)-J17</f>
        <v>0.3</v>
      </c>
      <c r="M17" s="413" t="s">
        <v>45</v>
      </c>
      <c r="N17" s="213"/>
      <c r="O17" s="214"/>
      <c r="P17" s="428">
        <f>MROUND(L17,"0:15")</f>
        <v>0.30208333333333331</v>
      </c>
      <c r="Q17" s="8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-6</v>
      </c>
      <c r="R17" s="84"/>
      <c r="S17" s="85"/>
      <c r="T17" s="432">
        <f>T16-P17</f>
        <v>4.4062500000000009</v>
      </c>
      <c r="U17" s="366"/>
      <c r="V17" s="206">
        <v>0</v>
      </c>
      <c r="W17" s="204">
        <v>45267</v>
      </c>
      <c r="X17" s="682"/>
      <c r="Y17" s="361">
        <f>IF(M17="O",P17 - AA17,"0:00:00")</f>
        <v>0.30208333333333331</v>
      </c>
      <c r="Z17" s="152" t="str">
        <f>IF(M17="C",P17,"0:00:00")</f>
        <v>0:00:00</v>
      </c>
      <c r="AA17" s="140" t="str">
        <f>IF(P17="M",Q17-P17,"0:00:00")</f>
        <v>0:00:00</v>
      </c>
      <c r="AB17" s="140">
        <f>SUM(Y17:Z17)</f>
        <v>0.30208333333333331</v>
      </c>
      <c r="AC17" s="195">
        <v>0</v>
      </c>
      <c r="AD17" s="196" t="b">
        <f>V17=AC17</f>
        <v>1</v>
      </c>
    </row>
    <row r="18" spans="1:30" ht="13.5" thickBot="1" x14ac:dyDescent="0.25">
      <c r="A18" s="226">
        <v>46276</v>
      </c>
      <c r="B18" s="309">
        <v>0.31180555555555556</v>
      </c>
      <c r="C18" s="309">
        <v>0.51250000000000007</v>
      </c>
      <c r="D18" s="309">
        <v>0.52777777777777779</v>
      </c>
      <c r="E18" s="266"/>
      <c r="F18" s="266"/>
      <c r="G18" s="266"/>
      <c r="H18" s="266"/>
      <c r="I18" s="309">
        <v>0.61041666666666672</v>
      </c>
      <c r="J18" s="624">
        <v>0</v>
      </c>
      <c r="K18" s="624">
        <f>IF((D18-C18)&lt;=$F$2,0,(D18-C18)-$F$2)</f>
        <v>1.3888888888888354E-3</v>
      </c>
      <c r="L18" s="625">
        <f>(I18-B18)-K18-(H18-G18)-J18</f>
        <v>0.29722222222222233</v>
      </c>
      <c r="M18" s="412" t="s">
        <v>53</v>
      </c>
      <c r="N18" s="211"/>
      <c r="O18" s="212"/>
      <c r="P18" s="428">
        <f>MROUND(L18,"0:15")</f>
        <v>0.30208333333333331</v>
      </c>
      <c r="Q18" s="199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2</v>
      </c>
      <c r="R18" s="199"/>
      <c r="S18" s="200"/>
      <c r="T18" s="433">
        <f>T17-L18</f>
        <v>4.1090277777777784</v>
      </c>
      <c r="U18" s="358"/>
      <c r="V18" s="207">
        <v>0</v>
      </c>
      <c r="W18" s="204">
        <v>45268</v>
      </c>
      <c r="X18" s="682"/>
      <c r="Y18" s="361" t="str">
        <f>IF(M18="O",P18 - AA18,"0:00:00")</f>
        <v>0:00:00</v>
      </c>
      <c r="Z18" s="152">
        <f>IF(M18="C",P18,"0:00:00")</f>
        <v>0.30208333333333331</v>
      </c>
      <c r="AA18" s="143" t="str">
        <f>IF(P18="M",Q18-P18,"0:00:00")</f>
        <v>0:00:00</v>
      </c>
      <c r="AB18" s="159">
        <f>SUM(Y18:Z18)</f>
        <v>0.30208333333333331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1.4798611111111113</v>
      </c>
      <c r="M19" s="396"/>
      <c r="N19" s="122"/>
      <c r="O19" s="123"/>
      <c r="P19" s="706">
        <f>SUM(P14:P18)</f>
        <v>1.4895833333333333</v>
      </c>
      <c r="Q19" s="707"/>
      <c r="R19" s="707"/>
      <c r="S19" s="707"/>
      <c r="T19" s="708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398"/>
      <c r="N20" s="130"/>
      <c r="O20" s="131"/>
      <c r="P20" s="434"/>
      <c r="Q20" s="341">
        <f>Q18</f>
        <v>2</v>
      </c>
      <c r="R20" s="341"/>
      <c r="S20" s="342"/>
      <c r="T20" s="435"/>
      <c r="U20" s="385"/>
      <c r="V20" s="35"/>
      <c r="W20" s="79"/>
      <c r="X20" s="148"/>
      <c r="Y20" s="160"/>
      <c r="Z20" s="161"/>
      <c r="AA20" s="162"/>
      <c r="AB20" s="163"/>
      <c r="AC20" s="146"/>
      <c r="AD20" s="149"/>
    </row>
    <row r="21" spans="1:30" ht="12.75" customHeight="1" thickBot="1" x14ac:dyDescent="0.25">
      <c r="A21" s="226">
        <v>46279</v>
      </c>
      <c r="B21" s="309">
        <v>0.30069444444444443</v>
      </c>
      <c r="C21" s="309">
        <v>0.50277777777777777</v>
      </c>
      <c r="D21" s="309">
        <v>0.51736111111111105</v>
      </c>
      <c r="E21" s="266"/>
      <c r="F21" s="266"/>
      <c r="G21" s="266"/>
      <c r="H21" s="266"/>
      <c r="I21" s="309">
        <v>0.60833333333333328</v>
      </c>
      <c r="J21" s="265">
        <f>F21-E21</f>
        <v>0</v>
      </c>
      <c r="K21" s="260">
        <f>IF((D21-C21)&lt;=$F$2,0,(D21-C21)-$F$2)</f>
        <v>6.9444444444439341E-4</v>
      </c>
      <c r="L21" s="409">
        <f>(I21-B21)-K21-(H21-G21)-J21</f>
        <v>0.30694444444444446</v>
      </c>
      <c r="M21" s="413" t="s">
        <v>45</v>
      </c>
      <c r="N21" s="211"/>
      <c r="O21" s="212"/>
      <c r="P21" s="428">
        <f>MROUND(L21,"0:15")</f>
        <v>0.30208333333333331</v>
      </c>
      <c r="Q21" s="98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-6</v>
      </c>
      <c r="R21" s="98"/>
      <c r="S21" s="99"/>
      <c r="T21" s="436">
        <f>T18-L21</f>
        <v>3.8020833333333339</v>
      </c>
      <c r="U21" s="100"/>
      <c r="V21" s="205">
        <v>0.36458333333333331</v>
      </c>
      <c r="W21" s="192">
        <v>45271</v>
      </c>
      <c r="X21" s="682"/>
      <c r="Y21" s="150">
        <f>IF(M21="O",P21 - AA21,"0:00:00")</f>
        <v>0.30208333333333331</v>
      </c>
      <c r="Z21" s="138" t="str">
        <f>IF(M21="C",P21,"0:00:00")</f>
        <v>0:00:00</v>
      </c>
      <c r="AA21" s="138" t="str">
        <f>IF(P21="M",Q21-P21,"0:00:00")</f>
        <v>0:00:00</v>
      </c>
      <c r="AB21" s="157">
        <f>SUM(Y21:Z21)</f>
        <v>0.30208333333333331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26">
        <v>46280</v>
      </c>
      <c r="B22" s="309">
        <v>0.35555555555555557</v>
      </c>
      <c r="C22" s="309">
        <v>0.5444444444444444</v>
      </c>
      <c r="D22" s="309">
        <v>0.55902777777777779</v>
      </c>
      <c r="E22" s="266"/>
      <c r="F22" s="266"/>
      <c r="G22" s="266"/>
      <c r="H22" s="266"/>
      <c r="I22" s="309">
        <v>0.6333333333333333</v>
      </c>
      <c r="J22" s="265">
        <v>0</v>
      </c>
      <c r="K22" s="260">
        <f>IF((D22-C22)&lt;=$F$2,0,(D22-C22)-$F$2)</f>
        <v>6.9444444444450443E-4</v>
      </c>
      <c r="L22" s="409">
        <f>(I22-B22)-K22-(H22-G22)-J22</f>
        <v>0.27708333333333324</v>
      </c>
      <c r="M22" s="412" t="s">
        <v>53</v>
      </c>
      <c r="N22" s="211"/>
      <c r="O22" s="212"/>
      <c r="P22" s="428">
        <f>MROUND(L22,"0:15")</f>
        <v>0.28125</v>
      </c>
      <c r="Q22" s="95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3</v>
      </c>
      <c r="R22" s="95"/>
      <c r="S22" s="96"/>
      <c r="T22" s="422">
        <f>T21-L22</f>
        <v>3.5250000000000008</v>
      </c>
      <c r="U22" s="97"/>
      <c r="V22" s="206">
        <v>0.36458333333333331</v>
      </c>
      <c r="W22" s="192">
        <v>45272</v>
      </c>
      <c r="X22" s="682"/>
      <c r="Y22" s="343" t="str">
        <f>IF(M22="O",P22 - AA22,"0:00:00")</f>
        <v>0:00:00</v>
      </c>
      <c r="Z22" s="344">
        <f>IF(M22="C",P22,"0:00:00")</f>
        <v>0.28125</v>
      </c>
      <c r="AA22" s="140" t="str">
        <f>IF(P22="M",Q22-P22,"0:00:00")</f>
        <v>0:00:00</v>
      </c>
      <c r="AB22" s="158">
        <f>SUM(Y22:Z22)</f>
        <v>0.28125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26">
        <v>46281</v>
      </c>
      <c r="B23" s="309">
        <v>0.31388888888888888</v>
      </c>
      <c r="C23" s="309">
        <v>0.49305555555555558</v>
      </c>
      <c r="D23" s="309">
        <v>0.50694444444444442</v>
      </c>
      <c r="E23" s="266"/>
      <c r="F23" s="266"/>
      <c r="G23" s="266"/>
      <c r="H23" s="266"/>
      <c r="I23" s="309">
        <v>0.64027777777777772</v>
      </c>
      <c r="J23" s="265">
        <f t="shared" ref="J23:J24" si="2">F23-E23</f>
        <v>0</v>
      </c>
      <c r="K23" s="260">
        <f>IF((D23-C23)&lt;=$F$2,0,(D23-C23)-$F$2)</f>
        <v>0</v>
      </c>
      <c r="L23" s="409">
        <f>(I23-B23)-K23-(H23-G23)-J23</f>
        <v>0.32638888888888884</v>
      </c>
      <c r="M23" s="413" t="s">
        <v>45</v>
      </c>
      <c r="N23" s="211"/>
      <c r="O23" s="212"/>
      <c r="P23" s="428">
        <f>MROUND(L23,"0:15")</f>
        <v>0.32291666666666663</v>
      </c>
      <c r="Q23" s="95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-7</v>
      </c>
      <c r="R23" s="95"/>
      <c r="S23" s="96"/>
      <c r="T23" s="422">
        <f>T22-L23</f>
        <v>3.198611111111112</v>
      </c>
      <c r="U23" s="97"/>
      <c r="V23" s="206">
        <v>0.45833333333333331</v>
      </c>
      <c r="W23" s="192">
        <v>45273</v>
      </c>
      <c r="X23" s="682"/>
      <c r="Y23" s="343">
        <f>IF(M23="O",P23 - AA23,"0:00:00")</f>
        <v>0.32291666666666663</v>
      </c>
      <c r="Z23" s="344" t="str">
        <f>IF(M23="C",P23,"0:00:00")</f>
        <v>0:00:00</v>
      </c>
      <c r="AA23" s="140" t="str">
        <f>IF(P23="M",Q23-P23,"0:00:00")</f>
        <v>0:00:00</v>
      </c>
      <c r="AB23" s="158">
        <f>SUM(Y23:Z23)</f>
        <v>0.32291666666666663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26">
        <v>46282</v>
      </c>
      <c r="B24" s="309">
        <v>0.30555555555555558</v>
      </c>
      <c r="C24" s="309">
        <v>0.5131944444444444</v>
      </c>
      <c r="D24" s="309">
        <v>0.51944444444444449</v>
      </c>
      <c r="E24" s="266"/>
      <c r="F24" s="266"/>
      <c r="G24" s="266"/>
      <c r="H24" s="266"/>
      <c r="I24" s="309">
        <v>0.6020833333333333</v>
      </c>
      <c r="J24" s="265">
        <f t="shared" si="2"/>
        <v>0</v>
      </c>
      <c r="K24" s="260">
        <f>IF((D24-C24)&lt;=$F$2,0,(D24-C24)-$F$2)</f>
        <v>0</v>
      </c>
      <c r="L24" s="409">
        <f>(I24-B24)-K24-(H24-G24)-J24</f>
        <v>0.29652777777777772</v>
      </c>
      <c r="M24" s="414" t="s">
        <v>45</v>
      </c>
      <c r="N24" s="213"/>
      <c r="O24" s="214"/>
      <c r="P24" s="428">
        <f>MROUND(L24,"0:15")</f>
        <v>0.29166666666666663</v>
      </c>
      <c r="Q24" s="249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0</v>
      </c>
      <c r="R24" s="249"/>
      <c r="S24" s="250"/>
      <c r="T24" s="437">
        <f>T23-L24</f>
        <v>2.9020833333333345</v>
      </c>
      <c r="U24" s="372"/>
      <c r="V24" s="182">
        <v>0.32291666666666669</v>
      </c>
      <c r="W24" s="192">
        <v>45274</v>
      </c>
      <c r="X24" s="682"/>
      <c r="Y24" s="343">
        <f>IF(M24="O",P24 - AA24,"0:00:00")</f>
        <v>0.29166666666666663</v>
      </c>
      <c r="Z24" s="344" t="str">
        <f>IF(M24="C",P24,"0:00:00")</f>
        <v>0:00:00</v>
      </c>
      <c r="AA24" s="140" t="str">
        <f>IF(P24="M",Q24-P24,"0:00:00")</f>
        <v>0:00:00</v>
      </c>
      <c r="AB24" s="158">
        <f>SUM(Y24:Z24)</f>
        <v>0.29166666666666663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226">
        <v>46283</v>
      </c>
      <c r="B25" s="309">
        <v>0.3527777777777778</v>
      </c>
      <c r="C25" s="266"/>
      <c r="D25" s="266"/>
      <c r="E25" s="266"/>
      <c r="F25" s="266"/>
      <c r="G25" s="266"/>
      <c r="H25" s="266"/>
      <c r="I25" s="309">
        <v>0.6479166666666667</v>
      </c>
      <c r="J25" s="259">
        <v>0</v>
      </c>
      <c r="K25" s="260">
        <f>IF((D25-C25)&lt;=$F$2,0,(D25-C25)-$F$2)</f>
        <v>0</v>
      </c>
      <c r="L25" s="409">
        <f>(I25-B25)-K25-(H25-G25)-J25</f>
        <v>0.2951388888888889</v>
      </c>
      <c r="M25" s="416" t="s">
        <v>53</v>
      </c>
      <c r="N25" s="211"/>
      <c r="O25" s="212"/>
      <c r="P25" s="428">
        <f>MROUND(L25,"0:15")</f>
        <v>0.29166666666666663</v>
      </c>
      <c r="Q25" s="251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5</v>
      </c>
      <c r="R25" s="251"/>
      <c r="S25" s="252"/>
      <c r="T25" s="438">
        <f>T24-L25</f>
        <v>2.6069444444444456</v>
      </c>
      <c r="U25" s="373"/>
      <c r="V25" s="182">
        <v>0.36458333333333331</v>
      </c>
      <c r="W25" s="192">
        <v>45275</v>
      </c>
      <c r="X25" s="682"/>
      <c r="Y25" s="364" t="str">
        <f>IF(M25="O",P25 - AA25,"0:00:00")</f>
        <v>0:00:00</v>
      </c>
      <c r="Z25" s="365">
        <f>IF(M25="C",P25,"0:00:00")</f>
        <v>0.29166666666666663</v>
      </c>
      <c r="AA25" s="143" t="str">
        <f>IF(P25="M",Q25-P25,"0:00:00")</f>
        <v>0:00:00</v>
      </c>
      <c r="AB25" s="159">
        <f>SUM(Y25:Z25)</f>
        <v>0.29166666666666663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1.5020833333333332</v>
      </c>
      <c r="M26" s="396"/>
      <c r="N26" s="128"/>
      <c r="O26" s="129"/>
      <c r="P26" s="706">
        <f>SUM(P21:P25)</f>
        <v>1.489583333333333</v>
      </c>
      <c r="Q26" s="707"/>
      <c r="R26" s="707"/>
      <c r="S26" s="707"/>
      <c r="T26" s="708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417"/>
      <c r="N27" s="130"/>
      <c r="O27" s="131"/>
      <c r="P27" s="426"/>
      <c r="Q27" s="338">
        <f>Q25</f>
        <v>5</v>
      </c>
      <c r="R27" s="338"/>
      <c r="S27" s="339"/>
      <c r="T27" s="427"/>
      <c r="U27" s="374"/>
      <c r="V27" s="35"/>
      <c r="W27" s="81"/>
      <c r="X27" s="148"/>
      <c r="Y27" s="160"/>
      <c r="Z27" s="161"/>
      <c r="AA27" s="162"/>
      <c r="AB27" s="163"/>
      <c r="AC27" s="146"/>
      <c r="AD27" s="149"/>
    </row>
    <row r="28" spans="1:30" ht="15.75" customHeight="1" thickBot="1" x14ac:dyDescent="0.25">
      <c r="A28" s="605">
        <v>46286</v>
      </c>
      <c r="B28" s="606">
        <v>0.30069444444444443</v>
      </c>
      <c r="C28" s="606">
        <v>0.5</v>
      </c>
      <c r="D28" s="606">
        <v>0.51458333333333328</v>
      </c>
      <c r="E28" s="608"/>
      <c r="F28" s="608"/>
      <c r="G28" s="608"/>
      <c r="H28" s="608"/>
      <c r="I28" s="606">
        <v>0.62430555555555556</v>
      </c>
      <c r="J28" s="606">
        <f>F28-E28</f>
        <v>0</v>
      </c>
      <c r="K28" s="606">
        <f>IF((D28-C28)&lt;=$F$2,0,(D28-C28)-$F$2)</f>
        <v>6.9444444444439341E-4</v>
      </c>
      <c r="L28" s="607">
        <f>(I28-B28)-K28-(H28-G28)-J28</f>
        <v>0.32291666666666674</v>
      </c>
      <c r="M28" s="413" t="s">
        <v>45</v>
      </c>
      <c r="N28" s="211"/>
      <c r="O28" s="212"/>
      <c r="P28" s="428">
        <f>MROUND(L28,"0:15")</f>
        <v>0.32291666666666663</v>
      </c>
      <c r="Q28" s="98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5</v>
      </c>
      <c r="R28" s="98"/>
      <c r="S28" s="99"/>
      <c r="T28" s="436">
        <f>T25-L28</f>
        <v>2.2840277777777791</v>
      </c>
      <c r="U28" s="100"/>
      <c r="V28" s="205">
        <v>0.30208333333333331</v>
      </c>
      <c r="W28" s="192">
        <v>45278</v>
      </c>
      <c r="X28" s="682"/>
      <c r="Y28" s="345">
        <f>IF(M28="O",P28 - AA28,"0:00:00")</f>
        <v>0.32291666666666663</v>
      </c>
      <c r="Z28" s="349" t="str">
        <f>IF(M28="C",P28,"0:00:00")</f>
        <v>0:00:00</v>
      </c>
      <c r="AA28" s="138" t="str">
        <f>IF(P28="M",Q28-P28,"0:00:00")</f>
        <v>0:00:00</v>
      </c>
      <c r="AB28" s="157">
        <f>SUM(Y28:Z28)</f>
        <v>0.32291666666666663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605">
        <v>46287</v>
      </c>
      <c r="B29" s="309">
        <v>0.32916666666666666</v>
      </c>
      <c r="C29" s="309">
        <v>0.54861111111111116</v>
      </c>
      <c r="D29" s="309">
        <v>0.56388888888888888</v>
      </c>
      <c r="E29" s="309">
        <v>0.65486111111111112</v>
      </c>
      <c r="F29" s="309">
        <v>0.67013888888888884</v>
      </c>
      <c r="G29" s="309"/>
      <c r="H29" s="309"/>
      <c r="I29" s="309">
        <v>0.76597222222222228</v>
      </c>
      <c r="J29" s="309">
        <f>IF((F29-E29)&lt;$F$1,$F$1,F29-E29)</f>
        <v>2.0833333333333329E-2</v>
      </c>
      <c r="K29" s="309">
        <f>IF((D29-C29)&lt;=$F$2,0,(D29-C29)-$F$2)</f>
        <v>1.3888888888888354E-3</v>
      </c>
      <c r="L29" s="410">
        <f>(I29-B29)-K29-(H29-G29)-J29</f>
        <v>0.41458333333333347</v>
      </c>
      <c r="M29" s="412" t="s">
        <v>53</v>
      </c>
      <c r="N29" s="211"/>
      <c r="O29" s="212"/>
      <c r="P29" s="428">
        <f>MROUND(L29,"0:15")</f>
        <v>0.41666666666666663</v>
      </c>
      <c r="Q29" s="95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2</v>
      </c>
      <c r="R29" s="95"/>
      <c r="S29" s="96"/>
      <c r="T29" s="422">
        <f>T28-L29</f>
        <v>1.8694444444444456</v>
      </c>
      <c r="U29" s="97"/>
      <c r="V29" s="206">
        <v>0</v>
      </c>
      <c r="W29" s="192">
        <v>45279</v>
      </c>
      <c r="X29" s="682"/>
      <c r="Y29" s="361" t="str">
        <f>IF(M29="O",P29 - AA29,"0:00:00")</f>
        <v>0:00:00</v>
      </c>
      <c r="Z29" s="152">
        <f>IF(M29="C",P29,"0:00:00")</f>
        <v>0.41666666666666663</v>
      </c>
      <c r="AA29" s="140" t="str">
        <f>IF(P29="M",Q29-P29,"0:00:00")</f>
        <v>0:00:00</v>
      </c>
      <c r="AB29" s="158">
        <f>SUM(Y29:Z29)</f>
        <v>0.41666666666666663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605">
        <v>46288</v>
      </c>
      <c r="B30" s="309">
        <v>0.30486111111111114</v>
      </c>
      <c r="C30" s="309">
        <v>0.48680555555555555</v>
      </c>
      <c r="D30" s="309">
        <v>0.50208333333333333</v>
      </c>
      <c r="E30" s="309"/>
      <c r="F30" s="309"/>
      <c r="G30" s="309"/>
      <c r="H30" s="309"/>
      <c r="I30" s="309">
        <v>0.625</v>
      </c>
      <c r="J30" s="309">
        <f t="shared" ref="J30:J31" si="3">F30-E30</f>
        <v>0</v>
      </c>
      <c r="K30" s="309">
        <f>IF((D30-C30)&lt;=$F$2,0,(D30-C30)-$F$2)</f>
        <v>1.3888888888888909E-3</v>
      </c>
      <c r="L30" s="410">
        <f>(I30-B30)-K30-(H30-G30)-J30</f>
        <v>0.31874999999999998</v>
      </c>
      <c r="M30" s="412" t="s">
        <v>45</v>
      </c>
      <c r="N30" s="211"/>
      <c r="O30" s="212"/>
      <c r="P30" s="428">
        <f>MROUND(L30,"0:15")</f>
        <v>0.32291666666666663</v>
      </c>
      <c r="Q30" s="95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-4</v>
      </c>
      <c r="R30" s="95"/>
      <c r="S30" s="96"/>
      <c r="T30" s="422">
        <f>T29-L30</f>
        <v>1.5506944444444457</v>
      </c>
      <c r="U30" s="97"/>
      <c r="V30" s="206">
        <v>0.35416666666666669</v>
      </c>
      <c r="W30" s="192">
        <v>45280</v>
      </c>
      <c r="X30" s="682"/>
      <c r="Y30" s="361">
        <f>IF(M30="O",P30 - AA30,"0:00:00")</f>
        <v>0.32291666666666663</v>
      </c>
      <c r="Z30" s="152" t="str">
        <f>IF(M30="C",P30,"0:00:00")</f>
        <v>0:00:00</v>
      </c>
      <c r="AA30" s="140" t="str">
        <f>IF(P30="M",Q30-P30,"0:00:00")</f>
        <v>0:00:00</v>
      </c>
      <c r="AB30" s="158">
        <f>SUM(Y30:Z30)</f>
        <v>0.32291666666666663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605">
        <v>46289</v>
      </c>
      <c r="B31" s="309">
        <v>0.37361111111111112</v>
      </c>
      <c r="C31" s="309">
        <v>0.55069444444444449</v>
      </c>
      <c r="D31" s="309">
        <v>0.56041666666666667</v>
      </c>
      <c r="E31" s="266"/>
      <c r="F31" s="266"/>
      <c r="G31" s="266"/>
      <c r="H31" s="266"/>
      <c r="I31" s="309">
        <v>0.66249999999999998</v>
      </c>
      <c r="J31" s="309">
        <f t="shared" si="3"/>
        <v>0</v>
      </c>
      <c r="K31" s="309">
        <f>IF((D31-C31)&lt;=$F$2,0,(D31-C31)-$F$2)</f>
        <v>0</v>
      </c>
      <c r="L31" s="410">
        <f>(I31-B31)-K31-(H31-G31)-J31</f>
        <v>0.28888888888888886</v>
      </c>
      <c r="M31" s="413" t="s">
        <v>53</v>
      </c>
      <c r="N31" s="213"/>
      <c r="O31" s="214"/>
      <c r="P31" s="428">
        <f>MROUND(L31,"0:15")</f>
        <v>0.29166666666666663</v>
      </c>
      <c r="Q31" s="95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7</v>
      </c>
      <c r="R31" s="95"/>
      <c r="S31" s="96"/>
      <c r="T31" s="422">
        <f>T30-L31</f>
        <v>1.261805555555557</v>
      </c>
      <c r="U31" s="97"/>
      <c r="V31" s="206">
        <v>0.41666666666666669</v>
      </c>
      <c r="W31" s="192">
        <v>45281</v>
      </c>
      <c r="X31" s="682"/>
      <c r="Y31" s="361" t="str">
        <f>IF(M31="O",P31 - AA31,"0:00:00")</f>
        <v>0:00:00</v>
      </c>
      <c r="Z31" s="152">
        <f>IF(M31="C",P31,"0:00:00")</f>
        <v>0.29166666666666663</v>
      </c>
      <c r="AA31" s="140" t="str">
        <f>IF(P31="M",Q31-P31,"0:00:00")</f>
        <v>0:00:00</v>
      </c>
      <c r="AB31" s="158">
        <f>SUM(Y31:Z31)</f>
        <v>0.29166666666666663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605">
        <v>46290</v>
      </c>
      <c r="B32" s="309">
        <v>0.3215277777777778</v>
      </c>
      <c r="C32" s="309">
        <v>0.54236111111111107</v>
      </c>
      <c r="D32" s="309">
        <v>0.55138888888888893</v>
      </c>
      <c r="E32" s="266"/>
      <c r="F32" s="266"/>
      <c r="G32" s="266"/>
      <c r="H32" s="266"/>
      <c r="I32" s="309">
        <v>0.63402777777777775</v>
      </c>
      <c r="J32" s="310">
        <v>0</v>
      </c>
      <c r="K32" s="309">
        <f>IF((D32-C32)&lt;=$F$2,0,(D32-C32)-$F$2)</f>
        <v>0</v>
      </c>
      <c r="L32" s="410">
        <f>(I32-B32)-K32-(H32-G32)-J32</f>
        <v>0.31249999999999994</v>
      </c>
      <c r="M32" s="414" t="s">
        <v>53</v>
      </c>
      <c r="N32" s="211"/>
      <c r="O32" s="212"/>
      <c r="P32" s="428">
        <f>MROUND(L32,"0:15")</f>
        <v>0.3125</v>
      </c>
      <c r="Q32" s="95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7</v>
      </c>
      <c r="R32" s="95"/>
      <c r="S32" s="96"/>
      <c r="T32" s="422">
        <f>T31-L32</f>
        <v>0.94930555555555696</v>
      </c>
      <c r="U32" s="111"/>
      <c r="V32" s="78">
        <v>0.35416666666666669</v>
      </c>
      <c r="W32" s="192">
        <v>45282</v>
      </c>
      <c r="X32" s="682"/>
      <c r="Y32" s="361" t="str">
        <f>IF(M32="O",P32 - AA32,"0:00:00")</f>
        <v>0:00:00</v>
      </c>
      <c r="Z32" s="152">
        <f>IF(M32="C",P32,"0:00:00")</f>
        <v>0.3125</v>
      </c>
      <c r="AA32" s="143" t="str">
        <f>IF(P32="M",Q32-P32,"0:00:00")</f>
        <v>0:00:00</v>
      </c>
      <c r="AB32" s="159">
        <f>SUM(Y32:Z32)</f>
        <v>0.3125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1.6576388888888891</v>
      </c>
      <c r="M33" s="396"/>
      <c r="N33" s="128"/>
      <c r="O33" s="129"/>
      <c r="P33" s="706">
        <f>SUM(P28:P32)</f>
        <v>1.6666666666666665</v>
      </c>
      <c r="Q33" s="707"/>
      <c r="R33" s="707"/>
      <c r="S33" s="707"/>
      <c r="T33" s="708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418"/>
      <c r="N34" s="130"/>
      <c r="O34" s="131"/>
      <c r="P34" s="426"/>
      <c r="Q34" s="377">
        <f>Q32</f>
        <v>7</v>
      </c>
      <c r="R34" s="377"/>
      <c r="S34" s="378"/>
      <c r="T34" s="439"/>
      <c r="U34" s="374"/>
      <c r="V34" s="35"/>
      <c r="W34" s="82"/>
      <c r="X34" s="148"/>
      <c r="Y34" s="160"/>
      <c r="Z34" s="161"/>
      <c r="AA34" s="162"/>
      <c r="AB34" s="163"/>
      <c r="AC34" s="146"/>
      <c r="AD34" s="149"/>
    </row>
    <row r="35" spans="1:30" ht="12.75" customHeight="1" thickBot="1" x14ac:dyDescent="0.25">
      <c r="A35" s="605">
        <v>46293</v>
      </c>
      <c r="B35" s="606">
        <v>0.30138888888888887</v>
      </c>
      <c r="C35" s="606">
        <v>0.50138888888888888</v>
      </c>
      <c r="D35" s="606">
        <v>0.51458333333333328</v>
      </c>
      <c r="E35" s="606"/>
      <c r="F35" s="606"/>
      <c r="G35" s="606"/>
      <c r="H35" s="606"/>
      <c r="I35" s="606">
        <v>0.6069444444444444</v>
      </c>
      <c r="J35" s="606">
        <f>F35-E35</f>
        <v>0</v>
      </c>
      <c r="K35" s="606">
        <f>IF((D35-C35)&lt;=$F$2,0,(D35-C35)-$F$2)</f>
        <v>0</v>
      </c>
      <c r="L35" s="607">
        <f>(I35-B35)-K35-(H35-G35)-J35</f>
        <v>0.30555555555555552</v>
      </c>
      <c r="M35" s="412" t="s">
        <v>45</v>
      </c>
      <c r="N35" s="315"/>
      <c r="O35" s="212"/>
      <c r="P35" s="440">
        <f>MROUND(L35,"0:15")</f>
        <v>0.30208333333333331</v>
      </c>
      <c r="Q35" s="98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-3</v>
      </c>
      <c r="R35" s="98"/>
      <c r="S35" s="99"/>
      <c r="T35" s="436">
        <f>T32-L35</f>
        <v>0.64375000000000138</v>
      </c>
      <c r="U35" s="100"/>
      <c r="V35" s="151">
        <v>0.33333333333333331</v>
      </c>
      <c r="W35" s="192">
        <v>45285</v>
      </c>
      <c r="X35" s="709"/>
      <c r="Y35" s="345">
        <f>IF(M35="O",P35 - AA35,"0:00:00")</f>
        <v>0.30208333333333331</v>
      </c>
      <c r="Z35" s="349" t="str">
        <f t="shared" ref="Z35:Z39" si="4">IF(M35="C",P35,"0:00:00")</f>
        <v>0:00:00</v>
      </c>
      <c r="AA35" s="138" t="str">
        <f>IF(P35="M",Q35-P35,"0:00:00")</f>
        <v>0:00:00</v>
      </c>
      <c r="AB35" s="157">
        <f>SUM(Y35:Z35)</f>
        <v>0.30208333333333331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605">
        <v>46294</v>
      </c>
      <c r="B36" s="606">
        <v>0.33263888888888887</v>
      </c>
      <c r="C36" s="606">
        <v>0.66111111111111109</v>
      </c>
      <c r="D36" s="606">
        <v>0.66805555555555551</v>
      </c>
      <c r="E36" s="606"/>
      <c r="F36" s="606"/>
      <c r="G36" s="606"/>
      <c r="H36" s="606"/>
      <c r="I36" s="606">
        <v>0.70972222222222225</v>
      </c>
      <c r="J36" s="606">
        <f>IF((F36-E36)&lt;$F$1,$F$1,F36-E36)</f>
        <v>2.0833333333333329E-2</v>
      </c>
      <c r="K36" s="606">
        <f>IF((D36-C36)&lt;=$F$2,0,(D36-C36)-$F$2)</f>
        <v>0</v>
      </c>
      <c r="L36" s="607">
        <f>(I36-B36)-K36-(H36-G36)-J36</f>
        <v>0.35625000000000007</v>
      </c>
      <c r="M36" s="585" t="s">
        <v>53</v>
      </c>
      <c r="N36" s="315"/>
      <c r="O36" s="212"/>
      <c r="P36" s="440">
        <f t="shared" ref="P36:P37" si="5">MROUND(L36,"0:15")</f>
        <v>0.35416666666666663</v>
      </c>
      <c r="Q36" s="95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0</v>
      </c>
      <c r="R36" s="95"/>
      <c r="S36" s="96"/>
      <c r="T36" s="422">
        <f>T35-L36</f>
        <v>0.28750000000000131</v>
      </c>
      <c r="U36" s="97"/>
      <c r="V36" s="77">
        <v>0.45833333333333331</v>
      </c>
      <c r="W36" s="192">
        <v>45286</v>
      </c>
      <c r="X36" s="709"/>
      <c r="Y36" s="361" t="str">
        <f>IF(M36="O",P36 - AA36,"0:00:00")</f>
        <v>0:00:00</v>
      </c>
      <c r="Z36" s="152">
        <f t="shared" si="4"/>
        <v>0.35416666666666663</v>
      </c>
      <c r="AA36" s="140" t="str">
        <f>IF(P36="M",Q36-P36,"0:00:00")</f>
        <v>0:00:00</v>
      </c>
      <c r="AB36" s="158">
        <f>SUM(Y36:Z36)</f>
        <v>0.35416666666666663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605">
        <v>46295</v>
      </c>
      <c r="B37" s="606">
        <v>0.3034722222222222</v>
      </c>
      <c r="C37" s="606">
        <v>0.5083333333333333</v>
      </c>
      <c r="D37" s="606">
        <v>0.52152777777777781</v>
      </c>
      <c r="E37" s="681"/>
      <c r="F37" s="681"/>
      <c r="G37" s="606"/>
      <c r="H37" s="606"/>
      <c r="I37" s="606">
        <v>0.61805555555555558</v>
      </c>
      <c r="J37" s="606">
        <v>0</v>
      </c>
      <c r="K37" s="606">
        <f>IF((D37-C37)&lt;=$F$2,0,(D37-C37)-$F$2)</f>
        <v>0</v>
      </c>
      <c r="L37" s="607">
        <f>(I37-B37)-K37-(H37-G37)-J37</f>
        <v>0.31458333333333338</v>
      </c>
      <c r="M37" s="604" t="s">
        <v>45</v>
      </c>
      <c r="N37" s="315"/>
      <c r="O37" s="212"/>
      <c r="P37" s="440">
        <f t="shared" si="5"/>
        <v>0.3125</v>
      </c>
      <c r="Q37" s="95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3</v>
      </c>
      <c r="R37" s="95"/>
      <c r="S37" s="96"/>
      <c r="T37" s="422">
        <f>T36-L37</f>
        <v>-2.7083333333332071E-2</v>
      </c>
      <c r="U37" s="97"/>
      <c r="V37" s="77">
        <v>0.33333333333333331</v>
      </c>
      <c r="W37" s="192">
        <v>45287</v>
      </c>
      <c r="X37" s="709"/>
      <c r="Y37" s="361">
        <f>IF(M37="O",P37 - AA37,"0:00:00")</f>
        <v>0.3125</v>
      </c>
      <c r="Z37" s="152" t="str">
        <f t="shared" si="4"/>
        <v>0:00:00</v>
      </c>
      <c r="AA37" s="140" t="str">
        <f>IF(P37="M",Q37-P37,"0:00:00")</f>
        <v>0:00:00</v>
      </c>
      <c r="AB37" s="158">
        <f>SUM(Y37:Z37)</f>
        <v>0.3125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592"/>
      <c r="B38" s="588"/>
      <c r="C38" s="588"/>
      <c r="D38" s="588"/>
      <c r="E38" s="588"/>
      <c r="F38" s="588"/>
      <c r="G38" s="588"/>
      <c r="H38" s="588"/>
      <c r="I38" s="588"/>
      <c r="J38" s="588"/>
      <c r="K38" s="588"/>
      <c r="L38" s="594"/>
      <c r="M38" s="585"/>
      <c r="N38" s="316"/>
      <c r="O38" s="214"/>
      <c r="P38" s="441">
        <f>TIME(MID(TEXT(L38,"hh:mm:ss"),1,2), IF(ABS((MID(TEXT(L38,"hh:mm:ss"),4,2)+Q37)-FLOOR((MID(TEXT(L38,"hh:mm:ss"),4,2)+Q37),15))&gt;=ABS((MID(TEXT(L38,"hh:mm:ss"),4,2)+Q37)-CEILING((MID(TEXT(L38,"hh:mm:ss"),4,2)+Q37),15)),CEILING((MID(TEXT(L38,"hh:mm:ss"),4,2)+Q37),15),FLOOR((MID(TEXT(L38,"hh:mm:ss"),4,2)+Q37),15)), MID(TEXT(L38,"hh:mm:ss"),7,2))</f>
        <v>0</v>
      </c>
      <c r="Q38" s="101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3</v>
      </c>
      <c r="R38" s="101"/>
      <c r="S38" s="102"/>
      <c r="T38" s="442">
        <f>T37-L38</f>
        <v>-2.7083333333332071E-2</v>
      </c>
      <c r="U38" s="97"/>
      <c r="V38" s="77">
        <v>0.45833333333333331</v>
      </c>
      <c r="W38" s="192">
        <v>45288</v>
      </c>
      <c r="X38" s="709"/>
      <c r="Y38" s="361" t="str">
        <f>IF(M38="O",P38 - AA38,"0:00:00")</f>
        <v>0:00:00</v>
      </c>
      <c r="Z38" s="152" t="str">
        <f t="shared" si="4"/>
        <v>0:00:00</v>
      </c>
      <c r="AA38" s="140" t="str">
        <f>IF(P38="M",Q38-P38,"0:00:00")</f>
        <v>0:00:00</v>
      </c>
      <c r="AB38" s="158">
        <f>SUM(Y38:Z38)</f>
        <v>0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592"/>
      <c r="B39" s="588"/>
      <c r="C39" s="588"/>
      <c r="D39" s="588"/>
      <c r="E39" s="588"/>
      <c r="F39" s="588"/>
      <c r="G39" s="588"/>
      <c r="H39" s="588"/>
      <c r="I39" s="588"/>
      <c r="J39" s="588"/>
      <c r="K39" s="588"/>
      <c r="L39" s="594"/>
      <c r="M39" s="586"/>
      <c r="N39" s="315"/>
      <c r="O39" s="212"/>
      <c r="P39" s="441">
        <f>TIME(MID(TEXT(L39,"hh:mm:ss"),1,2), IF(ABS((MID(TEXT(L39,"hh:mm:ss"),4,2)+Q38)-FLOOR((MID(TEXT(L39,"hh:mm:ss"),4,2)+Q38),15))&gt;=ABS((MID(TEXT(L39,"hh:mm:ss"),4,2)+Q38)-CEILING((MID(TEXT(L39,"hh:mm:ss"),4,2)+Q38),15)),CEILING((MID(TEXT(L39,"hh:mm:ss"),4,2)+Q38),15),FLOOR((MID(TEXT(L39,"hh:mm:ss"),4,2)+Q38),15)), MID(TEXT(L39,"hh:mm:ss"),7,2))</f>
        <v>0</v>
      </c>
      <c r="Q39" s="92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3</v>
      </c>
      <c r="R39" s="92"/>
      <c r="S39" s="93"/>
      <c r="T39" s="443">
        <f>T38-L39</f>
        <v>-2.7083333333332071E-2</v>
      </c>
      <c r="U39" s="94"/>
      <c r="V39" s="78"/>
      <c r="W39" s="192">
        <v>45289</v>
      </c>
      <c r="X39" s="709"/>
      <c r="Y39" s="142" t="str">
        <f>IF(M39="O",P39 - AA39,"0:00:00")</f>
        <v>0:00:00</v>
      </c>
      <c r="Z39" s="140" t="str">
        <f t="shared" si="4"/>
        <v>0:00:00</v>
      </c>
      <c r="AA39" s="152" t="str">
        <f>IF(P39="M",Q39-P39,"0:00:00")</f>
        <v>0:00:00</v>
      </c>
      <c r="AB39" s="164">
        <f>SUM(Y39:Z39)</f>
        <v>0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419">
        <f>SUM(L35:L39)</f>
        <v>0.97638888888888897</v>
      </c>
      <c r="M40" s="406"/>
      <c r="N40" s="132"/>
      <c r="O40" s="133"/>
      <c r="P40" s="444">
        <f>SUM(P35:P39)</f>
        <v>0.96875</v>
      </c>
      <c r="Q40" s="63"/>
      <c r="R40" s="63"/>
      <c r="S40" s="63"/>
      <c r="T40" s="63"/>
      <c r="U40" s="387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41"/>
      <c r="B42" s="42"/>
      <c r="C42" s="42"/>
      <c r="D42" s="42"/>
      <c r="E42" s="42"/>
      <c r="F42" s="42"/>
      <c r="G42" s="42"/>
      <c r="H42" s="42"/>
      <c r="I42" s="42"/>
      <c r="J42" s="43"/>
      <c r="K42" s="43"/>
      <c r="L42" s="44"/>
      <c r="M42" s="67"/>
      <c r="N42" s="67"/>
      <c r="O42" s="67"/>
      <c r="X42" s="148"/>
      <c r="Y42" s="168">
        <f>SUM(Y7:Y11,Y14:Y18,Y21:Y25,Y28:Y32,Y35:Y39)</f>
        <v>3.4062499999999996</v>
      </c>
      <c r="Z42" s="169">
        <f>SUM(Z7:Z11,Z14:Z18,Z21:Z25,Z28:Z32,Z35:Z39)</f>
        <v>3.4895833333333326</v>
      </c>
      <c r="AA42" s="169">
        <f>SUM(AA7:AA11,AA14:AA18,AA21:AA25,AA28:AA32,AA35:AA39)</f>
        <v>0</v>
      </c>
      <c r="AB42" s="170">
        <f>SUM(AB7:AB11,AB14:AB18,AB21:AB25,AB28:AB32,AB35:AB39)</f>
        <v>6.8958333333333348</v>
      </c>
      <c r="AC42" s="109"/>
      <c r="AD42" s="154"/>
    </row>
    <row r="43" spans="1:30" ht="13.5" thickBot="1" x14ac:dyDescent="0.25">
      <c r="A43" s="46" t="s">
        <v>24</v>
      </c>
      <c r="B43" s="47"/>
      <c r="C43" s="47"/>
      <c r="D43" s="47"/>
      <c r="E43" s="47"/>
      <c r="F43" s="47"/>
      <c r="G43" s="47"/>
      <c r="H43" s="47"/>
      <c r="I43" s="47"/>
      <c r="J43" s="48"/>
      <c r="K43" s="48"/>
      <c r="L43" s="49">
        <f>SUM(L33,L26,L19,L12,L40)</f>
        <v>6.8972222222222221</v>
      </c>
      <c r="M43" s="185"/>
      <c r="N43" s="185"/>
      <c r="O43" s="185"/>
      <c r="P43" s="83">
        <f>SUM(P12,P19,P26,P33,P40)</f>
        <v>6.8958333333333321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0.49385823600483281</v>
      </c>
      <c r="Z44" s="155">
        <f>Z42/C47</f>
        <v>0.5059403946838501</v>
      </c>
      <c r="AA44" s="156">
        <f>AA42/C47</f>
        <v>0</v>
      </c>
      <c r="AB44" s="180">
        <f>SUM(Y44:AA44)</f>
        <v>0.99979863068868291</v>
      </c>
    </row>
    <row r="45" spans="1:30" ht="18.75" thickBot="1" x14ac:dyDescent="0.25">
      <c r="A45" s="15"/>
      <c r="B45" s="16"/>
      <c r="C45" s="16"/>
      <c r="D45" s="16"/>
      <c r="E45" s="16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40" t="s">
        <v>25</v>
      </c>
      <c r="B46" s="741"/>
      <c r="C46" s="18">
        <f>J1*J2+L1*L2</f>
        <v>6.875</v>
      </c>
      <c r="D46" s="18"/>
      <c r="E46" s="18"/>
      <c r="F46" s="19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0"/>
      <c r="B47" s="21" t="s">
        <v>26</v>
      </c>
      <c r="C47" s="22">
        <f>L43</f>
        <v>6.8972222222222221</v>
      </c>
      <c r="D47" s="22"/>
      <c r="E47" s="22"/>
      <c r="F47" s="23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0"/>
      <c r="B48" s="21" t="s">
        <v>27</v>
      </c>
      <c r="C48" s="18" t="str">
        <f>IF(C46&gt;C47,C46-C47,"00:00:00")</f>
        <v>00:00:00</v>
      </c>
      <c r="D48" s="22"/>
      <c r="E48" s="22"/>
      <c r="F48" s="24"/>
      <c r="K48" s="35"/>
      <c r="P48" s="215"/>
      <c r="Q48" s="216"/>
      <c r="R48" s="216"/>
      <c r="S48" s="216"/>
      <c r="T48" s="217"/>
      <c r="U48" s="216"/>
    </row>
    <row r="49" spans="1:30" ht="13.5" thickBot="1" x14ac:dyDescent="0.25">
      <c r="A49" s="20"/>
      <c r="B49" s="21" t="s">
        <v>28</v>
      </c>
      <c r="C49" s="18">
        <f>IF(C47&gt;C46,C47-C46,"00:00:00")</f>
        <v>2.2222222222222143E-2</v>
      </c>
      <c r="D49" s="25"/>
      <c r="E49" s="26" t="s">
        <v>29</v>
      </c>
      <c r="F49" s="19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15"/>
      <c r="B50" s="16"/>
      <c r="C50" s="16"/>
      <c r="D50" s="16"/>
      <c r="E50" s="16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0"/>
      <c r="B51" s="21" t="s">
        <v>30</v>
      </c>
      <c r="C51" s="68">
        <v>0</v>
      </c>
      <c r="D51" s="18"/>
      <c r="E51" s="27" t="s">
        <v>31</v>
      </c>
      <c r="F51" s="28" t="str">
        <f>IF(C51&gt;C52,C51-C52,"00:00:00")</f>
        <v>00:00:00</v>
      </c>
    </row>
    <row r="52" spans="1:30" ht="13.5" thickBot="1" x14ac:dyDescent="0.25">
      <c r="A52" s="20"/>
      <c r="B52" s="21" t="s">
        <v>32</v>
      </c>
      <c r="C52" s="68">
        <v>0</v>
      </c>
      <c r="D52" s="18"/>
      <c r="E52" s="27" t="s">
        <v>33</v>
      </c>
      <c r="F52" s="28" t="str">
        <f>IF(C52&gt;C51,C52-C51,"00:00:00")</f>
        <v>00:00:00</v>
      </c>
    </row>
    <row r="53" spans="1:30" ht="13.5" thickBot="1" x14ac:dyDescent="0.25">
      <c r="A53" s="712" t="s">
        <v>34</v>
      </c>
      <c r="B53" s="736"/>
      <c r="C53" s="38">
        <f>Horas!F3-(Septiembre!J1+Septiembre!L1)</f>
        <v>0</v>
      </c>
      <c r="D53" s="737" t="s">
        <v>94</v>
      </c>
      <c r="E53" s="737"/>
      <c r="F53" s="39">
        <v>0</v>
      </c>
      <c r="P53" s="66"/>
      <c r="Q53" s="2"/>
      <c r="R53" s="2"/>
    </row>
    <row r="54" spans="1:30" ht="13.5" thickBot="1" x14ac:dyDescent="0.25">
      <c r="A54" s="715" t="s">
        <v>36</v>
      </c>
      <c r="B54" s="738"/>
      <c r="C54" s="36">
        <v>0</v>
      </c>
      <c r="D54" s="739" t="s">
        <v>37</v>
      </c>
      <c r="E54" s="739"/>
      <c r="F54" s="37">
        <v>0</v>
      </c>
      <c r="P54" s="66"/>
      <c r="Q54" s="2"/>
      <c r="R54" s="2"/>
    </row>
    <row r="55" spans="1:30" ht="13.5" thickBot="1" x14ac:dyDescent="0.25">
      <c r="A55" s="15"/>
      <c r="B55" s="16"/>
      <c r="C55" s="16"/>
      <c r="D55" s="16"/>
      <c r="E55" s="16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X35:X39"/>
    <mergeCell ref="P1:U1"/>
    <mergeCell ref="X7:X11"/>
    <mergeCell ref="X14:X18"/>
    <mergeCell ref="X21:X25"/>
    <mergeCell ref="X28:X32"/>
    <mergeCell ref="P33:T33"/>
    <mergeCell ref="P26:T26"/>
    <mergeCell ref="P19:T19"/>
    <mergeCell ref="P12:T12"/>
    <mergeCell ref="P2:U2"/>
    <mergeCell ref="N4:O4"/>
    <mergeCell ref="V1:AB1"/>
    <mergeCell ref="V2:AB2"/>
    <mergeCell ref="Y5:AB5"/>
    <mergeCell ref="A54:B54"/>
    <mergeCell ref="D54:E54"/>
    <mergeCell ref="A53:B53"/>
    <mergeCell ref="D53:E53"/>
    <mergeCell ref="B1:D1"/>
    <mergeCell ref="B2:D2"/>
    <mergeCell ref="B3:D3"/>
    <mergeCell ref="A46:B46"/>
    <mergeCell ref="T46:T47"/>
    <mergeCell ref="S46:S47"/>
    <mergeCell ref="R46:R47"/>
    <mergeCell ref="Q46:Q47"/>
  </mergeCells>
  <pageMargins left="0.75" right="0.75" top="1" bottom="1" header="0" footer="0"/>
  <pageSetup paperSize="9" scale="76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9"/>
  <dimension ref="A1:AE59"/>
  <sheetViews>
    <sheetView workbookViewId="0">
      <selection activeCell="I15" sqref="I15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4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457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268" t="s">
        <v>0</v>
      </c>
      <c r="B1" s="683" t="s">
        <v>38</v>
      </c>
      <c r="C1" s="684"/>
      <c r="D1" s="685"/>
      <c r="E1" s="269" t="s">
        <v>1</v>
      </c>
      <c r="F1" s="270">
        <v>2.0833333333333329E-2</v>
      </c>
      <c r="I1" s="6" t="s">
        <v>2</v>
      </c>
      <c r="J1" s="271">
        <v>21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272" t="s">
        <v>3</v>
      </c>
      <c r="B2" s="690"/>
      <c r="C2" s="691"/>
      <c r="D2" s="692"/>
      <c r="E2" s="273" t="s">
        <v>4</v>
      </c>
      <c r="F2" s="274">
        <v>1.3888888888888888E-2</v>
      </c>
      <c r="I2" s="8" t="s">
        <v>5</v>
      </c>
      <c r="J2" s="275">
        <v>0.33333333333333331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276" t="s">
        <v>6</v>
      </c>
      <c r="B3" s="693">
        <v>46296</v>
      </c>
      <c r="C3" s="694"/>
      <c r="D3" s="695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07"/>
      <c r="M4" s="402"/>
      <c r="N4" s="696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277" t="s">
        <v>7</v>
      </c>
      <c r="B5" s="278" t="s">
        <v>8</v>
      </c>
      <c r="C5" s="278" t="s">
        <v>9</v>
      </c>
      <c r="D5" s="278" t="s">
        <v>10</v>
      </c>
      <c r="E5" s="278" t="s">
        <v>11</v>
      </c>
      <c r="F5" s="278" t="s">
        <v>12</v>
      </c>
      <c r="G5" s="278" t="s">
        <v>13</v>
      </c>
      <c r="H5" s="278" t="s">
        <v>14</v>
      </c>
      <c r="I5" s="278" t="s">
        <v>15</v>
      </c>
      <c r="J5" s="278" t="s">
        <v>16</v>
      </c>
      <c r="K5" s="278" t="s">
        <v>17</v>
      </c>
      <c r="L5" s="278" t="s">
        <v>18</v>
      </c>
      <c r="M5" s="452" t="s">
        <v>44</v>
      </c>
      <c r="N5" s="117" t="s">
        <v>12</v>
      </c>
      <c r="O5" s="118" t="s">
        <v>15</v>
      </c>
      <c r="T5" s="55">
        <f>C46</f>
        <v>7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222"/>
      <c r="B6" s="223"/>
      <c r="C6" s="223"/>
      <c r="D6" s="223"/>
      <c r="E6" s="223"/>
      <c r="F6" s="223"/>
      <c r="G6" s="223"/>
      <c r="H6" s="223"/>
      <c r="I6" s="223"/>
      <c r="J6" s="224"/>
      <c r="K6" s="224"/>
      <c r="L6" s="451"/>
      <c r="M6" s="411"/>
      <c r="N6" s="130"/>
      <c r="O6" s="131"/>
      <c r="P6" s="426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261" t="s">
        <v>49</v>
      </c>
      <c r="AA6" s="261" t="s">
        <v>50</v>
      </c>
      <c r="AB6" s="262" t="s">
        <v>51</v>
      </c>
      <c r="AC6" s="104"/>
      <c r="AD6" s="186"/>
    </row>
    <row r="7" spans="1:31" ht="12.75" customHeight="1" thickBot="1" x14ac:dyDescent="0.25">
      <c r="A7" s="587"/>
      <c r="B7" s="588"/>
      <c r="C7" s="588"/>
      <c r="D7" s="588"/>
      <c r="E7" s="588"/>
      <c r="F7" s="588"/>
      <c r="G7" s="588"/>
      <c r="H7" s="588"/>
      <c r="I7" s="588"/>
      <c r="J7" s="588"/>
      <c r="K7" s="588"/>
      <c r="L7" s="593"/>
      <c r="M7" s="599"/>
      <c r="N7" s="315"/>
      <c r="O7" s="212"/>
      <c r="P7" s="70">
        <f>MROUND(L7,"0:15")</f>
        <v>0</v>
      </c>
      <c r="Q7" s="458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1</v>
      </c>
      <c r="R7" s="458"/>
      <c r="S7" s="459"/>
      <c r="T7" s="460">
        <f>T5-L7</f>
        <v>7</v>
      </c>
      <c r="U7" s="74"/>
      <c r="V7" s="76">
        <v>0</v>
      </c>
      <c r="W7" s="280"/>
      <c r="X7" s="701"/>
      <c r="Y7" s="150" t="str">
        <f>IF(O7="O",V7 - AA7,"0:00:00")</f>
        <v>0:00:00</v>
      </c>
      <c r="Z7" s="138" t="str">
        <f>IF(M7="C",P7,"0:00:00")</f>
        <v>0:00:00</v>
      </c>
      <c r="AA7" s="138" t="str">
        <f>IF(P7="M",Q7-P7,"0:00:00")</f>
        <v>0:00:00</v>
      </c>
      <c r="AB7" s="157">
        <f>SUM(Y7:Z7)</f>
        <v>0</v>
      </c>
      <c r="AC7" s="139">
        <v>0</v>
      </c>
      <c r="AD7" s="188"/>
      <c r="AE7" s="256"/>
    </row>
    <row r="8" spans="1:31" ht="12.75" customHeight="1" thickBot="1" x14ac:dyDescent="0.25">
      <c r="A8" s="587"/>
      <c r="B8" s="597"/>
      <c r="C8" s="597"/>
      <c r="D8" s="597"/>
      <c r="E8" s="597"/>
      <c r="F8" s="597"/>
      <c r="G8" s="597"/>
      <c r="H8" s="597"/>
      <c r="I8" s="597"/>
      <c r="J8" s="589"/>
      <c r="K8" s="589"/>
      <c r="L8" s="590"/>
      <c r="M8" s="453"/>
      <c r="N8" s="211"/>
      <c r="O8" s="212"/>
      <c r="P8" s="70">
        <f>MROUND(L8,"0:15")</f>
        <v>0</v>
      </c>
      <c r="Q8" s="461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1</v>
      </c>
      <c r="R8" s="461"/>
      <c r="S8" s="462"/>
      <c r="T8" s="463">
        <f>T7-L8</f>
        <v>7</v>
      </c>
      <c r="U8" s="97"/>
      <c r="V8" s="77">
        <v>0</v>
      </c>
      <c r="W8" s="193"/>
      <c r="X8" s="689"/>
      <c r="Y8" s="361" t="str">
        <f>IF(M8="O",P8 - AA8,"0:00:00")</f>
        <v>0:00:00</v>
      </c>
      <c r="Z8" s="152" t="str">
        <f>IF(M8="C",P8,"0:00:00")</f>
        <v>0:00:00</v>
      </c>
      <c r="AA8" s="140">
        <v>0</v>
      </c>
      <c r="AB8" s="158">
        <f>SUM(Y8:Z8)</f>
        <v>0</v>
      </c>
      <c r="AC8" s="141">
        <v>0</v>
      </c>
      <c r="AD8" s="189"/>
    </row>
    <row r="9" spans="1:31" s="1" customFormat="1" ht="12.75" customHeight="1" thickBot="1" x14ac:dyDescent="0.25">
      <c r="A9" s="587"/>
      <c r="B9" s="597"/>
      <c r="C9" s="597"/>
      <c r="D9" s="597"/>
      <c r="E9" s="597"/>
      <c r="F9" s="597"/>
      <c r="G9" s="597"/>
      <c r="H9" s="597"/>
      <c r="I9" s="597"/>
      <c r="J9" s="589"/>
      <c r="K9" s="589"/>
      <c r="L9" s="590"/>
      <c r="M9" s="453"/>
      <c r="N9" s="211"/>
      <c r="O9" s="212"/>
      <c r="P9" s="70">
        <f>MROUND(L9,"0:15")</f>
        <v>0</v>
      </c>
      <c r="Q9" s="46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1</v>
      </c>
      <c r="R9" s="464"/>
      <c r="S9" s="465"/>
      <c r="T9" s="466">
        <f>T8-L9</f>
        <v>7</v>
      </c>
      <c r="U9" s="366"/>
      <c r="V9" s="182">
        <v>0</v>
      </c>
      <c r="W9" s="281"/>
      <c r="X9" s="689"/>
      <c r="Y9" s="367" t="str">
        <f>IF(M9="O",P9 - AA9,"0:00:00")</f>
        <v>0:00:00</v>
      </c>
      <c r="Z9" s="367" t="str">
        <f>IF(M9="C",P9,"0:00:00")</f>
        <v>0:00:00</v>
      </c>
      <c r="AA9" s="503" t="str">
        <f>IF(P9="M",Q9-P9,"0:00:00")</f>
        <v>0:00:00</v>
      </c>
      <c r="AB9" s="368">
        <f>SUM(Y9:Z9)</f>
        <v>0</v>
      </c>
      <c r="AC9" s="195">
        <v>0</v>
      </c>
      <c r="AD9" s="196" t="b">
        <f>V9=AC9</f>
        <v>1</v>
      </c>
    </row>
    <row r="10" spans="1:31" ht="12.75" customHeight="1" thickBot="1" x14ac:dyDescent="0.25">
      <c r="A10" s="225">
        <v>46296</v>
      </c>
      <c r="B10" s="309">
        <v>0.30277777777777776</v>
      </c>
      <c r="C10" s="309">
        <v>0.50347222222222221</v>
      </c>
      <c r="D10" s="309">
        <v>0.51875000000000004</v>
      </c>
      <c r="E10" s="266"/>
      <c r="F10" s="266"/>
      <c r="G10" s="266"/>
      <c r="H10" s="266"/>
      <c r="I10" s="309">
        <v>0.61527777777777781</v>
      </c>
      <c r="J10" s="265">
        <f t="shared" ref="J10" si="0">F10-E10</f>
        <v>0</v>
      </c>
      <c r="K10" s="265">
        <f>IF((D10-C10)&lt;=$F$2,0,(D10-C10)-$F$2)</f>
        <v>1.3888888888889464E-3</v>
      </c>
      <c r="L10" s="319">
        <f>(I10-B10)-K10-(H10-G10)-J10</f>
        <v>0.31111111111111112</v>
      </c>
      <c r="M10" s="453" t="s">
        <v>45</v>
      </c>
      <c r="N10" s="213"/>
      <c r="O10" s="214"/>
      <c r="P10" s="70">
        <f>MROUND(L10,"0:15")</f>
        <v>0.3125</v>
      </c>
      <c r="Q10" s="46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-1</v>
      </c>
      <c r="R10" s="464"/>
      <c r="S10" s="465"/>
      <c r="T10" s="466">
        <f>T9-L10</f>
        <v>6.6888888888888891</v>
      </c>
      <c r="U10" s="366"/>
      <c r="V10" s="182">
        <v>0.45833333333333331</v>
      </c>
      <c r="W10" s="281"/>
      <c r="X10" s="689"/>
      <c r="Y10" s="140">
        <f>IF(M10="O",P10 - AA10,"0:00:00")</f>
        <v>0.3125</v>
      </c>
      <c r="Z10" s="140" t="str">
        <f>IF(M10="C",P10,"0:00:00")</f>
        <v>0:00:00</v>
      </c>
      <c r="AA10" s="504" t="str">
        <f>IF(P10="M",Q10-P10,"0:00:00")</f>
        <v>0:00:00</v>
      </c>
      <c r="AB10" s="158">
        <f>SUM(Y10:Z10)</f>
        <v>0.3125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225">
        <v>46297</v>
      </c>
      <c r="B11" s="309">
        <v>0.35347222222222224</v>
      </c>
      <c r="C11" s="309">
        <v>0.53125</v>
      </c>
      <c r="D11" s="309">
        <v>0.54513888888888884</v>
      </c>
      <c r="E11" s="266"/>
      <c r="F11" s="266"/>
      <c r="G11" s="266"/>
      <c r="H11" s="266"/>
      <c r="I11" s="309">
        <v>0.66527777777777775</v>
      </c>
      <c r="J11" s="265">
        <v>0</v>
      </c>
      <c r="K11" s="265">
        <f>IF((D11-C11)&lt;=$F$2,0,(D11-C11)-$F$2)</f>
        <v>0</v>
      </c>
      <c r="L11" s="319">
        <f>(I11-B11)-K11-(H11-G11)-J11</f>
        <v>0.3118055555555555</v>
      </c>
      <c r="M11" s="405" t="s">
        <v>53</v>
      </c>
      <c r="N11" s="211"/>
      <c r="O11" s="212"/>
      <c r="P11" s="389">
        <f>MROUND(L11,"0:15")</f>
        <v>0.3125</v>
      </c>
      <c r="Q11" s="467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-2</v>
      </c>
      <c r="R11" s="467"/>
      <c r="S11" s="468"/>
      <c r="T11" s="469">
        <f>T10-L11</f>
        <v>6.3770833333333332</v>
      </c>
      <c r="U11" s="369"/>
      <c r="V11" s="182">
        <v>0.29166666666666669</v>
      </c>
      <c r="W11" s="281">
        <v>45261</v>
      </c>
      <c r="X11" s="702"/>
      <c r="Y11" s="152" t="str">
        <f>IF(M11="O",P11 - AA11,"0:00:00")</f>
        <v>0:00:00</v>
      </c>
      <c r="Z11" s="152">
        <f>IF(M11="C",P11,"0:00:00")</f>
        <v>0.3125</v>
      </c>
      <c r="AA11" s="505" t="str">
        <f>IF(P11="M",Q11-P11,"0:00:00")</f>
        <v>0:00:00</v>
      </c>
      <c r="AB11" s="159">
        <f>SUM(Y11:Z11)</f>
        <v>0.3125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0.62291666666666656</v>
      </c>
      <c r="M12" s="396"/>
      <c r="N12" s="122"/>
      <c r="O12" s="123"/>
      <c r="P12" s="723">
        <f>SUM(P7:P11)</f>
        <v>0.625</v>
      </c>
      <c r="Q12" s="724"/>
      <c r="R12" s="724"/>
      <c r="S12" s="724"/>
      <c r="T12" s="725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397"/>
      <c r="N13" s="130"/>
      <c r="O13" s="131"/>
      <c r="P13" s="337"/>
      <c r="Q13" s="470">
        <f>Q11</f>
        <v>-2</v>
      </c>
      <c r="R13" s="470"/>
      <c r="S13" s="471"/>
      <c r="T13" s="472"/>
      <c r="U13" s="374"/>
      <c r="V13" s="35"/>
      <c r="W13" s="69"/>
      <c r="X13" s="148"/>
      <c r="Y13" s="160"/>
      <c r="Z13" s="161"/>
      <c r="AA13" s="162"/>
      <c r="AB13" s="163"/>
      <c r="AC13" s="146"/>
      <c r="AD13" s="149"/>
    </row>
    <row r="14" spans="1:31" s="1" customFormat="1" ht="12" thickBot="1" x14ac:dyDescent="0.25">
      <c r="A14" s="282">
        <v>46300</v>
      </c>
      <c r="B14" s="309">
        <v>0.2986111111111111</v>
      </c>
      <c r="C14" s="266">
        <v>0.48125000000000001</v>
      </c>
      <c r="D14" s="266">
        <v>0.49444444444444446</v>
      </c>
      <c r="E14" s="266"/>
      <c r="F14" s="266"/>
      <c r="G14" s="266"/>
      <c r="H14" s="266"/>
      <c r="I14" s="266">
        <v>0.62291666666666667</v>
      </c>
      <c r="J14" s="265">
        <v>0</v>
      </c>
      <c r="K14" s="265">
        <f>IF((D14-C14)&lt;=$F$2,0,(D14-C14)-$F$2)</f>
        <v>0</v>
      </c>
      <c r="L14" s="319">
        <f>(I14-B14)-K14-(H14-G14)-J14</f>
        <v>0.32430555555555557</v>
      </c>
      <c r="M14" s="400" t="s">
        <v>45</v>
      </c>
      <c r="N14" s="211"/>
      <c r="O14" s="212"/>
      <c r="P14" s="70">
        <f>MROUND(L14,"0:15")</f>
        <v>0.32291666666666663</v>
      </c>
      <c r="Q14" s="473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0</v>
      </c>
      <c r="R14" s="473"/>
      <c r="S14" s="474"/>
      <c r="T14" s="475">
        <f>T11-L14</f>
        <v>6.052777777777778</v>
      </c>
      <c r="U14" s="370"/>
      <c r="V14" s="205">
        <v>0.30208333333333331</v>
      </c>
      <c r="W14" s="283">
        <v>45264</v>
      </c>
      <c r="X14" s="682"/>
      <c r="Y14" s="150">
        <f>IF(M14="O",P14 - AA14,"0:00:00")</f>
        <v>0.32291666666666663</v>
      </c>
      <c r="Z14" s="138" t="str">
        <f>IF(M14="C",P14,"0:00:00")</f>
        <v>0:00:00</v>
      </c>
      <c r="AA14" s="138" t="str">
        <f>IF(P14="M",Q14-P14,"0:00:00")</f>
        <v>0:00:00</v>
      </c>
      <c r="AB14" s="157">
        <f>SUM(Y14:Z14)</f>
        <v>0.32291666666666663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282">
        <v>46301</v>
      </c>
      <c r="B15" s="266">
        <v>0.31111111111111112</v>
      </c>
      <c r="C15" s="266">
        <v>0.54861111111111105</v>
      </c>
      <c r="D15" s="266">
        <v>0.56180555555555556</v>
      </c>
      <c r="E15" s="266">
        <v>0.64374999999999993</v>
      </c>
      <c r="F15" s="266">
        <v>0.66597222222222219</v>
      </c>
      <c r="G15" s="266"/>
      <c r="H15" s="266"/>
      <c r="I15" s="266">
        <v>0.73958333333333337</v>
      </c>
      <c r="J15" s="265">
        <f>IF((F15-E15)&lt;$F$1,$F$1,F15-E15)</f>
        <v>2.2222222222222254E-2</v>
      </c>
      <c r="K15" s="265">
        <f>IF((D15-C15)&lt;=$F$2,0,(D15-C15)-$F$2)</f>
        <v>0</v>
      </c>
      <c r="L15" s="319">
        <f>(I15-B15)-K15-(H15-G15)-J15</f>
        <v>0.40625</v>
      </c>
      <c r="M15" s="453" t="s">
        <v>53</v>
      </c>
      <c r="N15" s="211"/>
      <c r="O15" s="212"/>
      <c r="P15" s="70">
        <f>MROUND(L15,"0:15")</f>
        <v>0.40625</v>
      </c>
      <c r="Q15" s="46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0</v>
      </c>
      <c r="R15" s="464"/>
      <c r="S15" s="465"/>
      <c r="T15" s="466">
        <f>T14-L15</f>
        <v>5.646527777777778</v>
      </c>
      <c r="U15" s="366"/>
      <c r="V15" s="206">
        <v>0.25</v>
      </c>
      <c r="W15" s="283">
        <v>45265</v>
      </c>
      <c r="X15" s="682"/>
      <c r="Y15" s="343" t="str">
        <f>IF(M15="O",P15 - AA15,"0:00:00")</f>
        <v>0:00:00</v>
      </c>
      <c r="Z15" s="344">
        <f>IF(M15="C",P15,"0:00:00")</f>
        <v>0.40625</v>
      </c>
      <c r="AA15" s="140" t="str">
        <f>IF(P15="M",Q15-P15,"0:00:00")</f>
        <v>0:00:00</v>
      </c>
      <c r="AB15" s="158">
        <f>SUM(Y15:Z15)</f>
        <v>0.40625</v>
      </c>
      <c r="AC15" s="107">
        <v>0.25</v>
      </c>
      <c r="AD15" s="189" t="b">
        <f>V15=AC15</f>
        <v>1</v>
      </c>
    </row>
    <row r="16" spans="1:31" s="1" customFormat="1" ht="12.75" customHeight="1" thickBot="1" x14ac:dyDescent="0.25">
      <c r="A16" s="282">
        <v>46302</v>
      </c>
      <c r="B16" s="266">
        <v>0.30555555555555552</v>
      </c>
      <c r="C16" s="266">
        <v>0.52916666666666667</v>
      </c>
      <c r="D16" s="266">
        <v>0.54305555555555551</v>
      </c>
      <c r="E16" s="266"/>
      <c r="F16" s="266"/>
      <c r="G16" s="266"/>
      <c r="H16" s="266"/>
      <c r="I16" s="266">
        <v>0.62291666666666667</v>
      </c>
      <c r="J16" s="265">
        <f t="shared" ref="J16:J17" si="1">F16-E16</f>
        <v>0</v>
      </c>
      <c r="K16" s="265">
        <f>IF((D16-C16)&lt;=$F$2,0,(D16-C16)-$F$2)</f>
        <v>0</v>
      </c>
      <c r="L16" s="319">
        <f>(I16-B16)-K16-(H16-G16)-J16</f>
        <v>0.31736111111111115</v>
      </c>
      <c r="M16" s="453" t="s">
        <v>45</v>
      </c>
      <c r="N16" s="211"/>
      <c r="O16" s="212"/>
      <c r="P16" s="70">
        <f>MROUND(L16,"0:15")</f>
        <v>0.3125</v>
      </c>
      <c r="Q16" s="461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7</v>
      </c>
      <c r="R16" s="461"/>
      <c r="S16" s="462"/>
      <c r="T16" s="476">
        <f>T15-P16</f>
        <v>5.334027777777778</v>
      </c>
      <c r="U16" s="203"/>
      <c r="V16" s="206">
        <v>0.23958333333333334</v>
      </c>
      <c r="W16" s="283">
        <v>45266</v>
      </c>
      <c r="X16" s="682"/>
      <c r="Y16" s="343">
        <f>IF(M16="O",P16 - AA16,"0:00:00")</f>
        <v>0.3125</v>
      </c>
      <c r="Z16" s="344" t="str">
        <f>IF(M16="C",P16,"0:00:00")</f>
        <v>0:00:00</v>
      </c>
      <c r="AA16" s="344" t="str">
        <f>IF(P16="M",Q16-P16,"0:00:00")</f>
        <v>0:00:00</v>
      </c>
      <c r="AB16" s="344">
        <f>SUM(Y16:Z16)</f>
        <v>0.3125</v>
      </c>
      <c r="AC16" s="107">
        <v>0.23958333333333334</v>
      </c>
      <c r="AD16" s="189" t="b">
        <f>V16=AC16</f>
        <v>1</v>
      </c>
    </row>
    <row r="17" spans="1:30" ht="12.75" customHeight="1" thickBot="1" x14ac:dyDescent="0.25">
      <c r="A17" s="282">
        <v>46303</v>
      </c>
      <c r="B17" s="266">
        <v>0.33124999999999999</v>
      </c>
      <c r="C17" s="266"/>
      <c r="D17" s="266"/>
      <c r="E17" s="266"/>
      <c r="F17" s="266"/>
      <c r="G17" s="266"/>
      <c r="H17" s="266"/>
      <c r="I17" s="266">
        <v>0.64374999999999993</v>
      </c>
      <c r="J17" s="265">
        <f t="shared" si="1"/>
        <v>0</v>
      </c>
      <c r="K17" s="265">
        <f>IF((D17-C17)&lt;=$F$2,0,(D17-C17)-$F$2)</f>
        <v>0</v>
      </c>
      <c r="L17" s="319">
        <f>(I17-B17)-K17-(H17-G17)-J17</f>
        <v>0.31249999999999994</v>
      </c>
      <c r="M17" s="453" t="s">
        <v>53</v>
      </c>
      <c r="N17" s="213"/>
      <c r="O17" s="214"/>
      <c r="P17" s="70">
        <f>MROUND(L17,"0:15")</f>
        <v>0.3125</v>
      </c>
      <c r="Q17" s="46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7</v>
      </c>
      <c r="R17" s="464"/>
      <c r="S17" s="465"/>
      <c r="T17" s="477">
        <f>T16-P17</f>
        <v>5.021527777777778</v>
      </c>
      <c r="U17" s="371"/>
      <c r="V17" s="206">
        <v>0</v>
      </c>
      <c r="W17" s="283">
        <v>45267</v>
      </c>
      <c r="X17" s="682"/>
      <c r="Y17" s="343" t="str">
        <f>IF(M17="O",P17 - AA17,"0:00:00")</f>
        <v>0:00:00</v>
      </c>
      <c r="Z17" s="344">
        <f>IF(M17="C",P17,"0:00:00")</f>
        <v>0.3125</v>
      </c>
      <c r="AA17" s="344" t="str">
        <f>IF(P17="M",Q17-P17,"0:00:00")</f>
        <v>0:00:00</v>
      </c>
      <c r="AB17" s="344">
        <f>SUM(Y17:Z17)</f>
        <v>0.3125</v>
      </c>
      <c r="AC17" s="195">
        <v>0</v>
      </c>
      <c r="AD17" s="196" t="b">
        <f>V17=AC17</f>
        <v>1</v>
      </c>
    </row>
    <row r="18" spans="1:30" ht="13.5" thickBot="1" x14ac:dyDescent="0.25">
      <c r="A18" s="282">
        <v>46304</v>
      </c>
      <c r="B18" s="266">
        <v>0.31041666666666667</v>
      </c>
      <c r="C18" s="266">
        <v>0.54305555555555551</v>
      </c>
      <c r="D18" s="266">
        <v>0.55138888888888882</v>
      </c>
      <c r="E18" s="266"/>
      <c r="F18" s="266"/>
      <c r="G18" s="266"/>
      <c r="H18" s="266"/>
      <c r="I18" s="266">
        <v>0.62847222222222221</v>
      </c>
      <c r="J18" s="259">
        <v>0</v>
      </c>
      <c r="K18" s="259">
        <f>IF((D18-C18)&lt;=$F$2,0,(D18-C18)-$F$2)</f>
        <v>0</v>
      </c>
      <c r="L18" s="408">
        <f>(I18-B18)-K18-(H18-G18)-J18</f>
        <v>0.31805555555555554</v>
      </c>
      <c r="M18" s="453" t="s">
        <v>53</v>
      </c>
      <c r="N18" s="211"/>
      <c r="O18" s="212"/>
      <c r="P18" s="70">
        <f>MROUND(L18,"0:15")</f>
        <v>0.32291666666666663</v>
      </c>
      <c r="Q18" s="478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0</v>
      </c>
      <c r="R18" s="478"/>
      <c r="S18" s="479"/>
      <c r="T18" s="480">
        <f>T17-L18</f>
        <v>4.7034722222222225</v>
      </c>
      <c r="U18" s="353"/>
      <c r="V18" s="207">
        <v>0</v>
      </c>
      <c r="W18" s="283">
        <v>45268</v>
      </c>
      <c r="X18" s="682"/>
      <c r="Y18" s="364" t="str">
        <f>IF(M18="O",P18 - AA18,"0:00:00")</f>
        <v>0:00:00</v>
      </c>
      <c r="Z18" s="365">
        <f>IF(M18="C",P18,"0:00:00")</f>
        <v>0.32291666666666663</v>
      </c>
      <c r="AA18" s="143" t="str">
        <f>IF(P18="M",Q18-P18,"0:00:00")</f>
        <v>0:00:00</v>
      </c>
      <c r="AB18" s="159">
        <f>SUM(Y18:Z18)</f>
        <v>0.32291666666666663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1.6784722222222224</v>
      </c>
      <c r="M19" s="398"/>
      <c r="N19" s="122"/>
      <c r="O19" s="123"/>
      <c r="P19" s="723">
        <f>SUM(P14:P18)</f>
        <v>1.677083333333333</v>
      </c>
      <c r="Q19" s="724"/>
      <c r="R19" s="724"/>
      <c r="S19" s="724"/>
      <c r="T19" s="725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454"/>
      <c r="N20" s="130"/>
      <c r="O20" s="131"/>
      <c r="P20" s="340"/>
      <c r="Q20" s="481">
        <f>Q18</f>
        <v>0</v>
      </c>
      <c r="R20" s="481"/>
      <c r="S20" s="482"/>
      <c r="T20" s="483"/>
      <c r="U20" s="385"/>
      <c r="V20" s="35"/>
      <c r="W20" s="79"/>
      <c r="X20" s="148"/>
      <c r="Y20" s="160"/>
      <c r="Z20" s="161"/>
      <c r="AA20" s="162"/>
      <c r="AB20" s="163"/>
      <c r="AC20" s="146"/>
      <c r="AD20" s="149"/>
    </row>
    <row r="21" spans="1:30" ht="12.75" customHeight="1" thickBot="1" x14ac:dyDescent="0.25">
      <c r="A21" s="670">
        <v>46307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2"/>
      <c r="M21" s="400"/>
      <c r="N21" s="211"/>
      <c r="O21" s="212"/>
      <c r="P21" s="70">
        <f>MROUND(L21,"0:15")</f>
        <v>0</v>
      </c>
      <c r="Q21" s="484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0</v>
      </c>
      <c r="R21" s="484"/>
      <c r="S21" s="485"/>
      <c r="T21" s="486">
        <f>T18-L21</f>
        <v>4.7034722222222225</v>
      </c>
      <c r="U21" s="100"/>
      <c r="V21" s="205">
        <v>0.36458333333333331</v>
      </c>
      <c r="W21" s="280">
        <v>45271</v>
      </c>
      <c r="X21" s="682"/>
      <c r="Y21" s="150" t="str">
        <f>IF(M21="O",P21 - AA21,"0:00:00")</f>
        <v>0:00:00</v>
      </c>
      <c r="Z21" s="138" t="str">
        <f>IF(M21="C",P21,"0:00:00")</f>
        <v>0:00:00</v>
      </c>
      <c r="AA21" s="138" t="str">
        <f>IF(P21="M",Q21-P21,"0:00:00")</f>
        <v>0:00:00</v>
      </c>
      <c r="AB21" s="157">
        <f>SUM(Y21:Z21)</f>
        <v>0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82">
        <v>46308</v>
      </c>
      <c r="B22" s="266">
        <v>0.29166666666666669</v>
      </c>
      <c r="C22" s="266">
        <v>0.47916666666666669</v>
      </c>
      <c r="D22" s="266">
        <v>0.4916666666666667</v>
      </c>
      <c r="E22" s="266"/>
      <c r="F22" s="266"/>
      <c r="G22" s="266"/>
      <c r="H22" s="266"/>
      <c r="I22" s="266">
        <v>0.67222222222222217</v>
      </c>
      <c r="J22" s="260">
        <v>0</v>
      </c>
      <c r="K22" s="260">
        <f>IF((D22-C22)&lt;=$F$2,0,(D22-C22)-$F$2)</f>
        <v>0</v>
      </c>
      <c r="L22" s="409">
        <f>(I22-B22)-K22-(H22-G22)-J22</f>
        <v>0.38055555555555548</v>
      </c>
      <c r="M22" s="453" t="s">
        <v>53</v>
      </c>
      <c r="N22" s="211"/>
      <c r="O22" s="212"/>
      <c r="P22" s="70">
        <f>MROUND(L22,"0:15")</f>
        <v>0.38541666666666663</v>
      </c>
      <c r="Q22" s="461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-7</v>
      </c>
      <c r="R22" s="461"/>
      <c r="S22" s="462"/>
      <c r="T22" s="463">
        <f>T21-L22</f>
        <v>4.322916666666667</v>
      </c>
      <c r="U22" s="97"/>
      <c r="V22" s="206">
        <v>0.36458333333333331</v>
      </c>
      <c r="W22" s="280">
        <v>45272</v>
      </c>
      <c r="X22" s="682"/>
      <c r="Y22" s="343" t="str">
        <f>IF(M22="O",P22 - AA22,"0:00:00")</f>
        <v>0:00:00</v>
      </c>
      <c r="Z22" s="344">
        <f>IF(M22="C",P22,"0:00:00")</f>
        <v>0.38541666666666663</v>
      </c>
      <c r="AA22" s="140" t="str">
        <f>IF(P22="M",Q22-P22,"0:00:00")</f>
        <v>0:00:00</v>
      </c>
      <c r="AB22" s="158">
        <f>SUM(Y22:Z22)</f>
        <v>0.38541666666666663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82">
        <v>46309</v>
      </c>
      <c r="B23" s="266">
        <v>0.30972222222222223</v>
      </c>
      <c r="C23" s="266">
        <v>0.47500000000000003</v>
      </c>
      <c r="D23" s="266">
        <v>0.48749999999999999</v>
      </c>
      <c r="E23" s="266"/>
      <c r="F23" s="266"/>
      <c r="G23" s="266"/>
      <c r="H23" s="266"/>
      <c r="I23" s="266">
        <v>0.64583333333333337</v>
      </c>
      <c r="J23" s="260">
        <v>0</v>
      </c>
      <c r="K23" s="260">
        <f>IF((D23-C23)&lt;=$F$2,0,(D23-C23)-$F$2)</f>
        <v>0</v>
      </c>
      <c r="L23" s="409">
        <f>(I23-B23)-K23-(H23-G23)-J23</f>
        <v>0.33611111111111114</v>
      </c>
      <c r="M23" s="453" t="s">
        <v>45</v>
      </c>
      <c r="N23" s="211"/>
      <c r="O23" s="212"/>
      <c r="P23" s="70">
        <f>MROUND(L23,"0:15")</f>
        <v>0.33333333333333331</v>
      </c>
      <c r="Q23" s="461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-3</v>
      </c>
      <c r="R23" s="461"/>
      <c r="S23" s="462"/>
      <c r="T23" s="463">
        <f>T22-L23</f>
        <v>3.9868055555555557</v>
      </c>
      <c r="U23" s="97"/>
      <c r="V23" s="206">
        <v>0.45833333333333331</v>
      </c>
      <c r="W23" s="280">
        <v>45273</v>
      </c>
      <c r="X23" s="682"/>
      <c r="Y23" s="343">
        <f>IF(M23="O",P23 - AA23,"0:00:00")</f>
        <v>0.33333333333333331</v>
      </c>
      <c r="Z23" s="344" t="str">
        <f>IF(M23="C",P23,"0:00:00")</f>
        <v>0:00:00</v>
      </c>
      <c r="AA23" s="140" t="str">
        <f>IF(P23="M",Q23-P23,"0:00:00")</f>
        <v>0:00:00</v>
      </c>
      <c r="AB23" s="158">
        <f>SUM(Y23:Z23)</f>
        <v>0.33333333333333331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82">
        <v>46310</v>
      </c>
      <c r="B24" s="266">
        <v>0.30972222222222223</v>
      </c>
      <c r="C24" s="266">
        <v>0.47083333333333338</v>
      </c>
      <c r="D24" s="266">
        <v>0.48402777777777778</v>
      </c>
      <c r="E24" s="266"/>
      <c r="F24" s="266"/>
      <c r="G24" s="266"/>
      <c r="H24" s="266"/>
      <c r="I24" s="266">
        <v>0.61805555555555558</v>
      </c>
      <c r="J24" s="260">
        <v>0</v>
      </c>
      <c r="K24" s="260">
        <f>IF((D24-C24)&lt;=$F$2,0,(D24-C24)-$F$2)</f>
        <v>0</v>
      </c>
      <c r="L24" s="409">
        <f>(I24-B24)-K24-(H24-G24)-J24</f>
        <v>0.30833333333333335</v>
      </c>
      <c r="M24" s="453" t="s">
        <v>45</v>
      </c>
      <c r="N24" s="211"/>
      <c r="O24" s="212"/>
      <c r="P24" s="70">
        <f>MROUND(L24,"0:15")</f>
        <v>0.3125</v>
      </c>
      <c r="Q24" s="487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6</v>
      </c>
      <c r="R24" s="487"/>
      <c r="S24" s="488"/>
      <c r="T24" s="489">
        <f>T23-L24</f>
        <v>3.6784722222222221</v>
      </c>
      <c r="U24" s="372"/>
      <c r="V24" s="182">
        <v>0.32291666666666669</v>
      </c>
      <c r="W24" s="280">
        <v>45274</v>
      </c>
      <c r="X24" s="682"/>
      <c r="Y24" s="343">
        <f>IF(M24="O",P24 - AA24,"0:00:00")</f>
        <v>0.3125</v>
      </c>
      <c r="Z24" s="344" t="str">
        <f>IF(M24="C",P24,"0:00:00")</f>
        <v>0:00:00</v>
      </c>
      <c r="AA24" s="140" t="str">
        <f>IF(P24="M",Q24-P24,"0:00:00")</f>
        <v>0:00:00</v>
      </c>
      <c r="AB24" s="158">
        <f>SUM(Y24:Z24)</f>
        <v>0.3125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282">
        <v>46311</v>
      </c>
      <c r="B25" s="266">
        <v>0.3125</v>
      </c>
      <c r="C25" s="266">
        <v>0.46388888888888885</v>
      </c>
      <c r="D25" s="266">
        <v>0.4777777777777778</v>
      </c>
      <c r="E25" s="266"/>
      <c r="F25" s="266"/>
      <c r="G25" s="266"/>
      <c r="H25" s="266"/>
      <c r="I25" s="266">
        <v>0.64444444444444449</v>
      </c>
      <c r="J25" s="260">
        <v>0</v>
      </c>
      <c r="K25" s="260">
        <f>IF((D25-C25)&lt;=$F$2,0,(D25-C25)-$F$2)</f>
        <v>6.2450045135165055E-17</v>
      </c>
      <c r="L25" s="409">
        <f>(I25-B25)-K25-(H25-G25)-J25</f>
        <v>0.33194444444444443</v>
      </c>
      <c r="M25" s="453" t="s">
        <v>53</v>
      </c>
      <c r="N25" s="211"/>
      <c r="O25" s="212"/>
      <c r="P25" s="70">
        <f>MROUND(L25,"0:15")</f>
        <v>0.33333333333333331</v>
      </c>
      <c r="Q25" s="490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4</v>
      </c>
      <c r="R25" s="490"/>
      <c r="S25" s="491"/>
      <c r="T25" s="492">
        <f>T24-L25</f>
        <v>3.3465277777777778</v>
      </c>
      <c r="U25" s="373"/>
      <c r="V25" s="182">
        <v>0.36458333333333331</v>
      </c>
      <c r="W25" s="280">
        <v>45275</v>
      </c>
      <c r="X25" s="682"/>
      <c r="Y25" s="364" t="str">
        <f>IF(M25="O",P25 - AA25,"0:00:00")</f>
        <v>0:00:00</v>
      </c>
      <c r="Z25" s="365">
        <f>IF(M25="C",P25,"0:00:00")</f>
        <v>0.33333333333333331</v>
      </c>
      <c r="AA25" s="143" t="str">
        <f>IF(P25="M",Q25-P25,"0:00:00")</f>
        <v>0:00:00</v>
      </c>
      <c r="AB25" s="159">
        <f>SUM(Y25:Z25)</f>
        <v>0.33333333333333331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1.3569444444444443</v>
      </c>
      <c r="M26" s="398"/>
      <c r="N26" s="128"/>
      <c r="O26" s="129"/>
      <c r="P26" s="723">
        <f>SUM(P21:P25)</f>
        <v>1.3645833333333333</v>
      </c>
      <c r="Q26" s="724"/>
      <c r="R26" s="724"/>
      <c r="S26" s="724"/>
      <c r="T26" s="725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455"/>
      <c r="N27" s="130"/>
      <c r="O27" s="131"/>
      <c r="P27" s="337"/>
      <c r="Q27" s="470">
        <f>Q25</f>
        <v>4</v>
      </c>
      <c r="R27" s="470"/>
      <c r="S27" s="471"/>
      <c r="T27" s="472"/>
      <c r="U27" s="374"/>
      <c r="V27" s="35"/>
      <c r="W27" s="81"/>
      <c r="X27" s="148"/>
      <c r="Y27" s="160"/>
      <c r="Z27" s="161"/>
      <c r="AA27" s="162"/>
      <c r="AB27" s="163"/>
      <c r="AC27" s="146"/>
      <c r="AD27" s="149"/>
    </row>
    <row r="28" spans="1:30" ht="15.75" customHeight="1" thickBot="1" x14ac:dyDescent="0.25">
      <c r="A28" s="282">
        <v>46314</v>
      </c>
      <c r="B28" s="266">
        <v>0.31180555555555556</v>
      </c>
      <c r="C28" s="266">
        <v>0.55069444444444449</v>
      </c>
      <c r="D28" s="266">
        <v>0.56111111111111112</v>
      </c>
      <c r="E28" s="266"/>
      <c r="F28" s="266"/>
      <c r="G28" s="266"/>
      <c r="H28" s="266"/>
      <c r="I28" s="266">
        <v>0.64930555555555558</v>
      </c>
      <c r="J28" s="309">
        <v>0</v>
      </c>
      <c r="K28" s="309">
        <f>IF((D28-C28)&lt;=$F$2,0,(D28-C28)-$F$2)</f>
        <v>0</v>
      </c>
      <c r="L28" s="410">
        <f>(I28-B28)-K28-(H28-G28)-J28</f>
        <v>0.33750000000000002</v>
      </c>
      <c r="M28" s="453" t="s">
        <v>45</v>
      </c>
      <c r="N28" s="211"/>
      <c r="O28" s="212"/>
      <c r="P28" s="70">
        <f>MROUND(L28,"0:15")</f>
        <v>0.33333333333333331</v>
      </c>
      <c r="Q28" s="484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-5</v>
      </c>
      <c r="R28" s="484"/>
      <c r="S28" s="485"/>
      <c r="T28" s="486">
        <f>T25-L28</f>
        <v>3.0090277777777779</v>
      </c>
      <c r="U28" s="100"/>
      <c r="V28" s="205">
        <v>0.30208333333333331</v>
      </c>
      <c r="W28" s="280">
        <v>45278</v>
      </c>
      <c r="X28" s="682"/>
      <c r="Y28" s="150">
        <f>IF(M28="O",P28 - AA28,"0:00:00")</f>
        <v>0.33333333333333331</v>
      </c>
      <c r="Z28" s="138" t="str">
        <f>IF(M28="C",P28,"0:00:00")</f>
        <v>0:00:00</v>
      </c>
      <c r="AA28" s="138" t="str">
        <f>IF(P28="M",Q28-P28,"0:00:00")</f>
        <v>0:00:00</v>
      </c>
      <c r="AB28" s="157">
        <f>SUM(Y28:Z28)</f>
        <v>0.33333333333333331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282">
        <v>46315</v>
      </c>
      <c r="B29" s="266">
        <v>0.31041666666666667</v>
      </c>
      <c r="C29" s="266">
        <v>0.50138888888888888</v>
      </c>
      <c r="D29" s="266">
        <v>0.51527777777777783</v>
      </c>
      <c r="E29" s="266">
        <v>0.63541666666666663</v>
      </c>
      <c r="F29" s="266">
        <v>0.65625</v>
      </c>
      <c r="G29" s="266"/>
      <c r="H29" s="266"/>
      <c r="I29" s="266">
        <v>0.71875</v>
      </c>
      <c r="J29" s="309">
        <f>IF((F29-E29)&lt;$F$1,$F$1,F29-E29)</f>
        <v>2.083333333333337E-2</v>
      </c>
      <c r="K29" s="309">
        <f>IF((D29-C29)&lt;=$F$2,0,(D29-C29)-$F$2)</f>
        <v>6.2450045135165055E-17</v>
      </c>
      <c r="L29" s="410">
        <f>(I29-B29)-K29-(H29-G29)-J29</f>
        <v>0.3874999999999999</v>
      </c>
      <c r="M29" s="453" t="s">
        <v>53</v>
      </c>
      <c r="N29" s="211"/>
      <c r="O29" s="212"/>
      <c r="P29" s="70">
        <f>MROUND(L29,"0:15")</f>
        <v>0.38541666666666663</v>
      </c>
      <c r="Q29" s="461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-2</v>
      </c>
      <c r="R29" s="461"/>
      <c r="S29" s="462"/>
      <c r="T29" s="463">
        <f>T28-L29</f>
        <v>2.6215277777777781</v>
      </c>
      <c r="U29" s="97"/>
      <c r="V29" s="206">
        <v>0</v>
      </c>
      <c r="W29" s="280">
        <v>45279</v>
      </c>
      <c r="X29" s="682"/>
      <c r="Y29" s="343" t="str">
        <f>IF(M29="O",P29 - AA29,"0:00:00")</f>
        <v>0:00:00</v>
      </c>
      <c r="Z29" s="344">
        <f>IF(M29="C",P29,"0:00:00")</f>
        <v>0.38541666666666663</v>
      </c>
      <c r="AA29" s="140" t="str">
        <f>IF(P29="M",Q29-P29,"0:00:00")</f>
        <v>0:00:00</v>
      </c>
      <c r="AB29" s="158">
        <f>SUM(Y29:Z29)</f>
        <v>0.38541666666666663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282">
        <v>46316</v>
      </c>
      <c r="B30" s="266">
        <v>0.30486111111111108</v>
      </c>
      <c r="C30" s="266">
        <v>0.52430555555555558</v>
      </c>
      <c r="D30" s="266">
        <v>0.53749999999999998</v>
      </c>
      <c r="E30" s="266"/>
      <c r="F30" s="266"/>
      <c r="G30" s="266"/>
      <c r="H30" s="266"/>
      <c r="I30" s="266">
        <v>0.61805555555555558</v>
      </c>
      <c r="J30" s="309">
        <v>0</v>
      </c>
      <c r="K30" s="309">
        <f>IF((D30-C30)&lt;=$F$2,0,(D30-C30)-$F$2)</f>
        <v>0</v>
      </c>
      <c r="L30" s="410">
        <f>(I30-B30)-K30-(H30-G30)-J30</f>
        <v>0.3131944444444445</v>
      </c>
      <c r="M30" s="453" t="s">
        <v>45</v>
      </c>
      <c r="N30" s="211"/>
      <c r="O30" s="212"/>
      <c r="P30" s="70">
        <f>MROUND(L30,"0:15")</f>
        <v>0.3125</v>
      </c>
      <c r="Q30" s="461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-1</v>
      </c>
      <c r="R30" s="461"/>
      <c r="S30" s="462"/>
      <c r="T30" s="463">
        <f>T29-L30</f>
        <v>2.3083333333333336</v>
      </c>
      <c r="U30" s="97"/>
      <c r="V30" s="206">
        <v>0.35416666666666669</v>
      </c>
      <c r="W30" s="280">
        <v>45280</v>
      </c>
      <c r="X30" s="682"/>
      <c r="Y30" s="343">
        <f>IF(M30="O",P30 - AA30,"0:00:00")</f>
        <v>0.3125</v>
      </c>
      <c r="Z30" s="344" t="str">
        <f>IF(M30="C",P30,"0:00:00")</f>
        <v>0:00:00</v>
      </c>
      <c r="AA30" s="140" t="str">
        <f>IF(P30="M",Q30-P30,"0:00:00")</f>
        <v>0:00:00</v>
      </c>
      <c r="AB30" s="158">
        <f>SUM(Y30:Z30)</f>
        <v>0.3125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282">
        <v>46317</v>
      </c>
      <c r="B31" s="266">
        <v>0.30486111111111108</v>
      </c>
      <c r="C31" s="266"/>
      <c r="D31" s="266"/>
      <c r="E31" s="266"/>
      <c r="F31" s="266"/>
      <c r="G31" s="266"/>
      <c r="H31" s="266"/>
      <c r="I31" s="266">
        <v>0.61527777777777781</v>
      </c>
      <c r="J31" s="309">
        <v>0</v>
      </c>
      <c r="K31" s="309">
        <f>IF((D31-C31)&lt;=$F$2,0,(D31-C31)-$F$2)</f>
        <v>0</v>
      </c>
      <c r="L31" s="410">
        <f>(I31-B31)-K31-(H31-G31)-J31</f>
        <v>0.31041666666666673</v>
      </c>
      <c r="M31" s="453" t="s">
        <v>45</v>
      </c>
      <c r="N31" s="211"/>
      <c r="O31" s="212"/>
      <c r="P31" s="70">
        <f>MROUND(L31,"0:15")</f>
        <v>0.3125</v>
      </c>
      <c r="Q31" s="461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-4</v>
      </c>
      <c r="R31" s="461"/>
      <c r="S31" s="462"/>
      <c r="T31" s="463">
        <f>T30-L31</f>
        <v>1.9979166666666668</v>
      </c>
      <c r="U31" s="97"/>
      <c r="V31" s="206">
        <v>0.41666666666666669</v>
      </c>
      <c r="W31" s="280">
        <v>45281</v>
      </c>
      <c r="X31" s="682"/>
      <c r="Y31" s="343">
        <f>IF(M31="O",P31 - AA31,"0:00:00")</f>
        <v>0.3125</v>
      </c>
      <c r="Z31" s="344" t="str">
        <f>IF(M31="C",P31,"0:00:00")</f>
        <v>0:00:00</v>
      </c>
      <c r="AA31" s="140" t="str">
        <f>IF(P31="M",Q31-P31,"0:00:00")</f>
        <v>0:00:00</v>
      </c>
      <c r="AB31" s="158">
        <f>SUM(Y31:Z31)</f>
        <v>0.3125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282">
        <v>46318</v>
      </c>
      <c r="B32" s="266">
        <v>0.31111111111111112</v>
      </c>
      <c r="C32" s="266">
        <v>0.50069444444444444</v>
      </c>
      <c r="D32" s="266">
        <v>0.51388888888888895</v>
      </c>
      <c r="E32" s="266"/>
      <c r="F32" s="266"/>
      <c r="G32" s="266"/>
      <c r="H32" s="266"/>
      <c r="I32" s="266">
        <v>0.64444444444444449</v>
      </c>
      <c r="J32" s="309">
        <v>0</v>
      </c>
      <c r="K32" s="309">
        <f>IF((D32-C32)&lt;=$F$2,0,(D32-C32)-$F$2)</f>
        <v>0</v>
      </c>
      <c r="L32" s="410">
        <f>(I32-B32)-K32-(H32-G32)-J32</f>
        <v>0.33333333333333337</v>
      </c>
      <c r="M32" s="453" t="s">
        <v>53</v>
      </c>
      <c r="N32" s="211"/>
      <c r="O32" s="212"/>
      <c r="P32" s="70">
        <f>MROUND(L32,"0:15")</f>
        <v>0.33333333333333331</v>
      </c>
      <c r="Q32" s="461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-4</v>
      </c>
      <c r="R32" s="461"/>
      <c r="S32" s="462"/>
      <c r="T32" s="463">
        <f>T31-L32</f>
        <v>1.6645833333333333</v>
      </c>
      <c r="U32" s="111"/>
      <c r="V32" s="78">
        <v>0.35416666666666669</v>
      </c>
      <c r="W32" s="280">
        <v>45282</v>
      </c>
      <c r="X32" s="682"/>
      <c r="Y32" s="364" t="str">
        <f>IF(M32="O",P32 - AA32,"0:00:00")</f>
        <v>0:00:00</v>
      </c>
      <c r="Z32" s="365">
        <f>IF(M32="C",P32,"0:00:00")</f>
        <v>0.33333333333333331</v>
      </c>
      <c r="AA32" s="143" t="str">
        <f>IF(P32="M",Q32-P32,"0:00:00")</f>
        <v>0:00:00</v>
      </c>
      <c r="AB32" s="159">
        <f>SUM(Y32:Z32)</f>
        <v>0.33333333333333331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1.6819444444444445</v>
      </c>
      <c r="M33" s="398"/>
      <c r="N33" s="128"/>
      <c r="O33" s="129"/>
      <c r="P33" s="723">
        <f>SUM(P28:P32)</f>
        <v>1.6770833333333333</v>
      </c>
      <c r="Q33" s="724"/>
      <c r="R33" s="724"/>
      <c r="S33" s="724"/>
      <c r="T33" s="725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395"/>
      <c r="N34" s="130"/>
      <c r="O34" s="131"/>
      <c r="P34" s="337"/>
      <c r="Q34" s="470">
        <f>Q32</f>
        <v>-4</v>
      </c>
      <c r="R34" s="470"/>
      <c r="S34" s="471"/>
      <c r="T34" s="472"/>
      <c r="U34" s="374"/>
      <c r="V34" s="35"/>
      <c r="W34" s="82"/>
      <c r="X34" s="148"/>
      <c r="Y34" s="160"/>
      <c r="Z34" s="161"/>
      <c r="AA34" s="162"/>
      <c r="AB34" s="163"/>
      <c r="AC34" s="146"/>
      <c r="AD34" s="149"/>
    </row>
    <row r="35" spans="1:30" ht="12.75" customHeight="1" thickBot="1" x14ac:dyDescent="0.25">
      <c r="A35" s="282">
        <v>46321</v>
      </c>
      <c r="B35" s="266">
        <v>0.31180555555555556</v>
      </c>
      <c r="C35" s="266">
        <v>0.55069444444444449</v>
      </c>
      <c r="D35" s="266">
        <v>0.56111111111111112</v>
      </c>
      <c r="E35" s="266"/>
      <c r="F35" s="266"/>
      <c r="G35" s="266"/>
      <c r="H35" s="266"/>
      <c r="I35" s="266">
        <v>0.64930555555555558</v>
      </c>
      <c r="J35" s="309">
        <v>0</v>
      </c>
      <c r="K35" s="309">
        <f>IF((D35-C35)&lt;=$F$2,0,(D35-C35)-$F$2)</f>
        <v>0</v>
      </c>
      <c r="L35" s="410">
        <f>(I35-B35)-K35-(H35-G35)-J35</f>
        <v>0.33750000000000002</v>
      </c>
      <c r="M35" s="400" t="s">
        <v>45</v>
      </c>
      <c r="N35" s="211"/>
      <c r="O35" s="212"/>
      <c r="P35" s="380">
        <f t="shared" ref="P35:P39" si="2">MROUND(L35,"0:15")</f>
        <v>0.33333333333333331</v>
      </c>
      <c r="Q35" s="484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2</v>
      </c>
      <c r="R35" s="484"/>
      <c r="S35" s="485"/>
      <c r="T35" s="486">
        <f>T32-L35</f>
        <v>1.3270833333333334</v>
      </c>
      <c r="U35" s="100"/>
      <c r="V35" s="151">
        <v>0.33333333333333331</v>
      </c>
      <c r="W35" s="280">
        <v>45285</v>
      </c>
      <c r="X35" s="709"/>
      <c r="Y35" s="150">
        <f>IF(M35="O",P35 - AA35,"0:00:00")</f>
        <v>0.33333333333333331</v>
      </c>
      <c r="Z35" s="138" t="str">
        <f t="shared" ref="Z35:Z39" si="3">IF(M35="C",P35,"0:00:00")</f>
        <v>0:00:00</v>
      </c>
      <c r="AA35" s="138" t="str">
        <f>IF(P35="M",Q35-P35,"0:00:00")</f>
        <v>0:00:00</v>
      </c>
      <c r="AB35" s="157">
        <f>SUM(Y35:Z35)</f>
        <v>0.33333333333333331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282">
        <v>46322</v>
      </c>
      <c r="B36" s="266">
        <v>0.31041666666666667</v>
      </c>
      <c r="C36" s="266">
        <v>0.50138888888888888</v>
      </c>
      <c r="D36" s="266">
        <v>0.51527777777777783</v>
      </c>
      <c r="E36" s="266">
        <v>0.63541666666666663</v>
      </c>
      <c r="F36" s="266">
        <v>0.65625</v>
      </c>
      <c r="G36" s="266"/>
      <c r="H36" s="266"/>
      <c r="I36" s="266">
        <v>0.71875</v>
      </c>
      <c r="J36" s="309">
        <f>IF((F36-E36)&lt;$F$1,$F$1,F36-E36)</f>
        <v>2.083333333333337E-2</v>
      </c>
      <c r="K36" s="309">
        <f>IF((D36-C36)&lt;=$F$2,0,(D36-C36)-$F$2)</f>
        <v>6.2450045135165055E-17</v>
      </c>
      <c r="L36" s="410">
        <f>(I36-B36)-K36-(H36-G36)-J36</f>
        <v>0.3874999999999999</v>
      </c>
      <c r="M36" s="453" t="s">
        <v>53</v>
      </c>
      <c r="N36" s="211"/>
      <c r="O36" s="212"/>
      <c r="P36" s="381">
        <f t="shared" si="2"/>
        <v>0.38541666666666663</v>
      </c>
      <c r="Q36" s="461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5</v>
      </c>
      <c r="R36" s="461"/>
      <c r="S36" s="462"/>
      <c r="T36" s="463">
        <f>T35-L36</f>
        <v>0.93958333333333344</v>
      </c>
      <c r="U36" s="97"/>
      <c r="V36" s="77">
        <v>0.45833333333333331</v>
      </c>
      <c r="W36" s="280">
        <v>45286</v>
      </c>
      <c r="X36" s="709"/>
      <c r="Y36" s="343" t="str">
        <f>IF(M36="O",P36 - AA36,"0:00:00")</f>
        <v>0:00:00</v>
      </c>
      <c r="Z36" s="344">
        <f t="shared" si="3"/>
        <v>0.38541666666666663</v>
      </c>
      <c r="AA36" s="140" t="str">
        <f>IF(P36="M",Q36-P36,"0:00:00")</f>
        <v>0:00:00</v>
      </c>
      <c r="AB36" s="158">
        <f>SUM(Y36:Z36)</f>
        <v>0.38541666666666663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282">
        <v>46323</v>
      </c>
      <c r="B37" s="266">
        <v>0.30486111111111108</v>
      </c>
      <c r="C37" s="266">
        <v>0.52430555555555558</v>
      </c>
      <c r="D37" s="266">
        <v>0.53749999999999998</v>
      </c>
      <c r="E37" s="266"/>
      <c r="F37" s="266"/>
      <c r="G37" s="266"/>
      <c r="H37" s="266"/>
      <c r="I37" s="266">
        <v>0.61805555555555558</v>
      </c>
      <c r="J37" s="309">
        <v>0</v>
      </c>
      <c r="K37" s="309">
        <f>IF((D37-C37)&lt;=$F$2,0,(D37-C37)-$F$2)</f>
        <v>0</v>
      </c>
      <c r="L37" s="410">
        <f>(I37-B37)-K37-(H37-G37)-J37</f>
        <v>0.3131944444444445</v>
      </c>
      <c r="M37" s="453" t="s">
        <v>45</v>
      </c>
      <c r="N37" s="211"/>
      <c r="O37" s="212"/>
      <c r="P37" s="381">
        <f t="shared" si="2"/>
        <v>0.3125</v>
      </c>
      <c r="Q37" s="461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6</v>
      </c>
      <c r="R37" s="461"/>
      <c r="S37" s="462"/>
      <c r="T37" s="463">
        <f>T36-L37</f>
        <v>0.62638888888888888</v>
      </c>
      <c r="U37" s="97"/>
      <c r="V37" s="77">
        <v>0.33333333333333331</v>
      </c>
      <c r="W37" s="280">
        <v>45287</v>
      </c>
      <c r="X37" s="709"/>
      <c r="Y37" s="343">
        <f>IF(M37="O",P37 - AA37,"0:00:00")</f>
        <v>0.3125</v>
      </c>
      <c r="Z37" s="344" t="str">
        <f t="shared" si="3"/>
        <v>0:00:00</v>
      </c>
      <c r="AA37" s="140" t="str">
        <f>IF(P37="M",Q37-P37,"0:00:00")</f>
        <v>0:00:00</v>
      </c>
      <c r="AB37" s="158">
        <f>SUM(Y37:Z37)</f>
        <v>0.3125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282">
        <v>46324</v>
      </c>
      <c r="B38" s="266">
        <v>0.30486111111111108</v>
      </c>
      <c r="C38" s="266"/>
      <c r="D38" s="266"/>
      <c r="E38" s="266"/>
      <c r="F38" s="266"/>
      <c r="G38" s="266"/>
      <c r="H38" s="266"/>
      <c r="I38" s="266">
        <v>0.61527777777777781</v>
      </c>
      <c r="J38" s="309">
        <v>0</v>
      </c>
      <c r="K38" s="309">
        <f>IF((D38-C38)&lt;=$F$2,0,(D38-C38)-$F$2)</f>
        <v>0</v>
      </c>
      <c r="L38" s="410">
        <f>(I38-B38)-K38-(H38-G38)-J38</f>
        <v>0.31041666666666673</v>
      </c>
      <c r="M38" s="405" t="s">
        <v>45</v>
      </c>
      <c r="N38" s="211"/>
      <c r="O38" s="212"/>
      <c r="P38" s="381">
        <f t="shared" si="2"/>
        <v>0.3125</v>
      </c>
      <c r="Q38" s="493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3</v>
      </c>
      <c r="R38" s="493"/>
      <c r="S38" s="494"/>
      <c r="T38" s="495">
        <f>T37-L38</f>
        <v>0.31597222222222215</v>
      </c>
      <c r="U38" s="97"/>
      <c r="V38" s="77">
        <v>0.45833333333333331</v>
      </c>
      <c r="W38" s="280">
        <v>45288</v>
      </c>
      <c r="X38" s="709"/>
      <c r="Y38" s="343">
        <f>IF(M38="O",P38 - AA38,"0:00:00")</f>
        <v>0.3125</v>
      </c>
      <c r="Z38" s="344" t="str">
        <f t="shared" si="3"/>
        <v>0:00:00</v>
      </c>
      <c r="AA38" s="140" t="str">
        <f>IF(P38="M",Q38-P38,"0:00:00")</f>
        <v>0:00:00</v>
      </c>
      <c r="AB38" s="158">
        <f>SUM(Y38:Z38)</f>
        <v>0.3125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282">
        <v>46325</v>
      </c>
      <c r="B39" s="266">
        <v>0.31111111111111112</v>
      </c>
      <c r="C39" s="266">
        <v>0.50069444444444444</v>
      </c>
      <c r="D39" s="266">
        <v>0.51388888888888895</v>
      </c>
      <c r="E39" s="266"/>
      <c r="F39" s="266"/>
      <c r="G39" s="266"/>
      <c r="H39" s="266"/>
      <c r="I39" s="266">
        <v>0.6430555555555556</v>
      </c>
      <c r="J39" s="309">
        <v>0</v>
      </c>
      <c r="K39" s="309">
        <f>IF((D39-C39)&lt;=$F$2,0,(D39-C39)-$F$2)</f>
        <v>0</v>
      </c>
      <c r="L39" s="410">
        <f>(I39-B39)-K39-(H39-G39)-J39</f>
        <v>0.33194444444444449</v>
      </c>
      <c r="M39" s="586" t="s">
        <v>53</v>
      </c>
      <c r="N39" s="315"/>
      <c r="O39" s="212"/>
      <c r="P39" s="381">
        <f t="shared" si="2"/>
        <v>0.33333333333333331</v>
      </c>
      <c r="Q39" s="496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496"/>
      <c r="S39" s="497"/>
      <c r="T39" s="498">
        <f>T38-L39</f>
        <v>-1.5972222222222332E-2</v>
      </c>
      <c r="U39" s="94"/>
      <c r="V39" s="78"/>
      <c r="W39" s="280">
        <v>45289</v>
      </c>
      <c r="X39" s="709"/>
      <c r="Y39" s="343" t="str">
        <f>IF(M39="O",P39 - AA39,"0:00:00")</f>
        <v>0:00:00</v>
      </c>
      <c r="Z39" s="344">
        <f t="shared" si="3"/>
        <v>0.33333333333333331</v>
      </c>
      <c r="AA39" s="152" t="str">
        <f>IF(P39="M",Q39-P39,"0:00:00")</f>
        <v>0:00:00</v>
      </c>
      <c r="AB39" s="164">
        <f>SUM(Y39:Z39)</f>
        <v>0.33333333333333331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391">
        <f>SUM(L35:L39)</f>
        <v>1.6805555555555558</v>
      </c>
      <c r="M40" s="456"/>
      <c r="N40" s="132"/>
      <c r="O40" s="133"/>
      <c r="P40" s="500">
        <f>SUM(P35:P39)</f>
        <v>1.6770833333333333</v>
      </c>
      <c r="Q40" s="499"/>
      <c r="R40" s="499"/>
      <c r="S40" s="499"/>
      <c r="T40" s="499"/>
      <c r="U40" s="387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284"/>
      <c r="B42" s="285"/>
      <c r="C42" s="285"/>
      <c r="D42" s="285"/>
      <c r="E42" s="285"/>
      <c r="F42" s="285"/>
      <c r="G42" s="285"/>
      <c r="H42" s="285"/>
      <c r="I42" s="285"/>
      <c r="J42" s="286"/>
      <c r="K42" s="286"/>
      <c r="L42" s="287"/>
      <c r="M42" s="67"/>
      <c r="N42" s="67"/>
      <c r="O42" s="67"/>
      <c r="X42" s="148"/>
      <c r="Y42" s="168">
        <f>SUM(Y7:Y11,Y14:Y18,Y21:Y25,Y28:Y32,Y35:Y39)</f>
        <v>3.5104166666666665</v>
      </c>
      <c r="Z42" s="169">
        <f>SUM(Z7:Z11,Z14:Z18,Z21:Z25,Z28:Z32,Z35:Z39)</f>
        <v>3.5104166666666665</v>
      </c>
      <c r="AA42" s="169">
        <f>SUM(AA7:AA11,AA14:AA18,AA21:AA25,AA28:AA32,AA35:AA39)</f>
        <v>0</v>
      </c>
      <c r="AB42" s="170">
        <f>SUM(AB7:AB11,AB14:AB18,AB21:AB25,AB28:AB32,AB35:AB39)</f>
        <v>7.020833333333333</v>
      </c>
      <c r="AC42" s="109"/>
      <c r="AD42" s="154"/>
    </row>
    <row r="43" spans="1:30" ht="13.5" thickBot="1" x14ac:dyDescent="0.25">
      <c r="A43" s="288" t="s">
        <v>24</v>
      </c>
      <c r="B43" s="289"/>
      <c r="C43" s="289"/>
      <c r="D43" s="289"/>
      <c r="E43" s="289"/>
      <c r="F43" s="289"/>
      <c r="G43" s="289"/>
      <c r="H43" s="289"/>
      <c r="I43" s="289"/>
      <c r="J43" s="290"/>
      <c r="K43" s="290"/>
      <c r="L43" s="291">
        <f>SUM(L33,L26,L19,L12,L40)</f>
        <v>7.0208333333333339</v>
      </c>
      <c r="M43" s="185"/>
      <c r="N43" s="185"/>
      <c r="O43" s="185"/>
      <c r="P43" s="83">
        <f>SUM(P12,P19,P26,P33,P40)</f>
        <v>7.0208333333333321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0.49999999999999994</v>
      </c>
      <c r="Z44" s="155">
        <f>Z42/C47</f>
        <v>0.49999999999999994</v>
      </c>
      <c r="AA44" s="156">
        <f>AA42/C47</f>
        <v>0</v>
      </c>
      <c r="AB44" s="180">
        <f>SUM(Y44:AA44)</f>
        <v>0.99999999999999989</v>
      </c>
    </row>
    <row r="45" spans="1:30" ht="18.75" thickBot="1" x14ac:dyDescent="0.25">
      <c r="A45" s="292"/>
      <c r="B45" s="293"/>
      <c r="C45" s="293"/>
      <c r="D45" s="293"/>
      <c r="E45" s="293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18" t="s">
        <v>25</v>
      </c>
      <c r="B46" s="719"/>
      <c r="C46" s="294">
        <f>J1*J2</f>
        <v>7</v>
      </c>
      <c r="D46" s="294"/>
      <c r="E46" s="294"/>
      <c r="F46" s="295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96"/>
      <c r="B47" s="297" t="s">
        <v>26</v>
      </c>
      <c r="C47" s="298">
        <f>L43</f>
        <v>7.0208333333333339</v>
      </c>
      <c r="D47" s="298"/>
      <c r="E47" s="298"/>
      <c r="F47" s="299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96"/>
      <c r="B48" s="297" t="s">
        <v>27</v>
      </c>
      <c r="C48" s="294" t="str">
        <f>IF(C46&gt;C47,C46-C47,"00:00:00")</f>
        <v>00:00:00</v>
      </c>
      <c r="D48" s="298"/>
      <c r="E48" s="298"/>
      <c r="F48" s="300"/>
      <c r="K48" s="35"/>
      <c r="P48" s="215"/>
      <c r="Q48" s="216"/>
      <c r="R48" s="216"/>
      <c r="S48" s="216"/>
      <c r="T48" s="264"/>
      <c r="U48" s="216"/>
    </row>
    <row r="49" spans="1:30" ht="13.5" thickBot="1" x14ac:dyDescent="0.25">
      <c r="A49" s="296"/>
      <c r="B49" s="297" t="s">
        <v>28</v>
      </c>
      <c r="C49" s="294">
        <f>IF(C47&gt;C46,C47-C46,"00:00:00")</f>
        <v>2.0833333333333925E-2</v>
      </c>
      <c r="D49" s="301"/>
      <c r="E49" s="302" t="s">
        <v>29</v>
      </c>
      <c r="F49" s="295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292"/>
      <c r="B50" s="293"/>
      <c r="C50" s="293"/>
      <c r="D50" s="293"/>
      <c r="E50" s="293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96"/>
      <c r="B51" s="297" t="s">
        <v>30</v>
      </c>
      <c r="C51" s="68">
        <v>0</v>
      </c>
      <c r="D51" s="294"/>
      <c r="E51" s="303" t="s">
        <v>31</v>
      </c>
      <c r="F51" s="304" t="str">
        <f>IF(C51&gt;C52,C51-C52,"00:00:00")</f>
        <v>00:00:00</v>
      </c>
    </row>
    <row r="52" spans="1:30" ht="13.5" thickBot="1" x14ac:dyDescent="0.25">
      <c r="A52" s="296"/>
      <c r="B52" s="297" t="s">
        <v>32</v>
      </c>
      <c r="C52" s="68">
        <v>0</v>
      </c>
      <c r="D52" s="294"/>
      <c r="E52" s="303" t="s">
        <v>33</v>
      </c>
      <c r="F52" s="304" t="str">
        <f>IF(C52&gt;C51,C52-C51,"00:00:00")</f>
        <v>00:00:00</v>
      </c>
    </row>
    <row r="53" spans="1:30" ht="13.5" thickBot="1" x14ac:dyDescent="0.25">
      <c r="A53" s="712" t="s">
        <v>34</v>
      </c>
      <c r="B53" s="713"/>
      <c r="C53" s="305">
        <f>Horas!G3-Octubre!J1</f>
        <v>0</v>
      </c>
      <c r="D53" s="714" t="s">
        <v>35</v>
      </c>
      <c r="E53" s="714"/>
      <c r="F53" s="306">
        <v>0</v>
      </c>
      <c r="P53" s="66"/>
      <c r="Q53" s="2"/>
      <c r="R53" s="2"/>
    </row>
    <row r="54" spans="1:30" ht="13.5" thickBot="1" x14ac:dyDescent="0.25">
      <c r="A54" s="715" t="s">
        <v>36</v>
      </c>
      <c r="B54" s="716"/>
      <c r="C54" s="307">
        <v>0</v>
      </c>
      <c r="D54" s="717" t="s">
        <v>37</v>
      </c>
      <c r="E54" s="717"/>
      <c r="F54" s="308">
        <v>0</v>
      </c>
      <c r="P54" s="66"/>
      <c r="Q54" s="2"/>
      <c r="R54" s="2"/>
    </row>
    <row r="55" spans="1:30" ht="13.5" thickBot="1" x14ac:dyDescent="0.25">
      <c r="A55" s="292"/>
      <c r="B55" s="293"/>
      <c r="C55" s="293"/>
      <c r="D55" s="293"/>
      <c r="E55" s="293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A54:B54"/>
    <mergeCell ref="D54:E54"/>
    <mergeCell ref="A46:B46"/>
    <mergeCell ref="Q46:Q47"/>
    <mergeCell ref="R46:R47"/>
    <mergeCell ref="S46:S47"/>
    <mergeCell ref="T46:T47"/>
    <mergeCell ref="A53:B53"/>
    <mergeCell ref="D53:E53"/>
    <mergeCell ref="P19:T19"/>
    <mergeCell ref="X21:X25"/>
    <mergeCell ref="P26:T26"/>
    <mergeCell ref="X28:X32"/>
    <mergeCell ref="P33:T33"/>
    <mergeCell ref="X35:X39"/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0"/>
  <dimension ref="A1:AE59"/>
  <sheetViews>
    <sheetView workbookViewId="0">
      <selection activeCell="A8" sqref="A8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4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268" t="s">
        <v>0</v>
      </c>
      <c r="B1" s="683" t="s">
        <v>38</v>
      </c>
      <c r="C1" s="684"/>
      <c r="D1" s="685"/>
      <c r="E1" s="269" t="s">
        <v>1</v>
      </c>
      <c r="F1" s="270">
        <v>2.0833333333333329E-2</v>
      </c>
      <c r="I1" s="6" t="s">
        <v>2</v>
      </c>
      <c r="J1" s="271">
        <v>19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272" t="s">
        <v>3</v>
      </c>
      <c r="B2" s="690"/>
      <c r="C2" s="691"/>
      <c r="D2" s="692"/>
      <c r="E2" s="273" t="s">
        <v>4</v>
      </c>
      <c r="F2" s="274">
        <v>1.3888888888888888E-2</v>
      </c>
      <c r="I2" s="8" t="s">
        <v>5</v>
      </c>
      <c r="J2" s="275">
        <v>0.33333333333333331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276" t="s">
        <v>6</v>
      </c>
      <c r="B3" s="693">
        <v>46327</v>
      </c>
      <c r="C3" s="694"/>
      <c r="D3" s="695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402"/>
      <c r="N4" s="696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277" t="s">
        <v>7</v>
      </c>
      <c r="B5" s="278" t="s">
        <v>8</v>
      </c>
      <c r="C5" s="278" t="s">
        <v>9</v>
      </c>
      <c r="D5" s="278" t="s">
        <v>10</v>
      </c>
      <c r="E5" s="278" t="s">
        <v>11</v>
      </c>
      <c r="F5" s="278" t="s">
        <v>12</v>
      </c>
      <c r="G5" s="278" t="s">
        <v>13</v>
      </c>
      <c r="H5" s="278" t="s">
        <v>14</v>
      </c>
      <c r="I5" s="278" t="s">
        <v>15</v>
      </c>
      <c r="J5" s="278" t="s">
        <v>16</v>
      </c>
      <c r="K5" s="278" t="s">
        <v>17</v>
      </c>
      <c r="L5" s="279" t="s">
        <v>18</v>
      </c>
      <c r="M5" s="279" t="s">
        <v>44</v>
      </c>
      <c r="N5" s="117" t="s">
        <v>12</v>
      </c>
      <c r="O5" s="118" t="s">
        <v>15</v>
      </c>
      <c r="T5" s="55">
        <f>C46</f>
        <v>6.333333333333333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222"/>
      <c r="B6" s="223"/>
      <c r="C6" s="223"/>
      <c r="D6" s="223"/>
      <c r="E6" s="223"/>
      <c r="F6" s="223"/>
      <c r="G6" s="223"/>
      <c r="H6" s="223"/>
      <c r="I6" s="223"/>
      <c r="J6" s="224"/>
      <c r="K6" s="224"/>
      <c r="L6" s="451"/>
      <c r="M6" s="508"/>
      <c r="N6" s="130"/>
      <c r="O6" s="131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261" t="s">
        <v>49</v>
      </c>
      <c r="AA6" s="261" t="s">
        <v>50</v>
      </c>
      <c r="AB6" s="262" t="s">
        <v>51</v>
      </c>
      <c r="AC6" s="104"/>
      <c r="AD6" s="186"/>
    </row>
    <row r="7" spans="1:31" ht="12.75" customHeight="1" thickBot="1" x14ac:dyDescent="0.25">
      <c r="A7" s="311">
        <v>46328</v>
      </c>
      <c r="B7" s="312"/>
      <c r="C7" s="312"/>
      <c r="D7" s="312"/>
      <c r="E7" s="312"/>
      <c r="F7" s="312"/>
      <c r="G7" s="312"/>
      <c r="H7" s="312"/>
      <c r="I7" s="312"/>
      <c r="J7" s="595"/>
      <c r="K7" s="313"/>
      <c r="L7" s="507"/>
      <c r="M7" s="405"/>
      <c r="N7" s="315"/>
      <c r="O7" s="212"/>
      <c r="P7" s="70">
        <f>MROUND(L7,"0:15")</f>
        <v>0</v>
      </c>
      <c r="Q7" s="458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1</v>
      </c>
      <c r="R7" s="458"/>
      <c r="S7" s="459"/>
      <c r="T7" s="460">
        <f>T5-L7</f>
        <v>6.333333333333333</v>
      </c>
      <c r="U7" s="517"/>
      <c r="V7" s="518">
        <v>0</v>
      </c>
      <c r="W7" s="519"/>
      <c r="X7" s="742"/>
      <c r="Y7" s="532" t="str">
        <f>IF(M7="O",P7 - AA7,"0:00:00")</f>
        <v>0:00:00</v>
      </c>
      <c r="Z7" s="533" t="str">
        <f>IF(M7="C",P7,"0:00:00")</f>
        <v>0:00:00</v>
      </c>
      <c r="AA7" s="520" t="str">
        <f>IF(P7="M",Q7-P7,"0:00:00")</f>
        <v>0:00:00</v>
      </c>
      <c r="AB7" s="521">
        <f>SUM(Y7:Z7)</f>
        <v>0</v>
      </c>
      <c r="AC7" s="139">
        <v>0</v>
      </c>
      <c r="AD7" s="188"/>
      <c r="AE7" s="256"/>
    </row>
    <row r="8" spans="1:31" ht="12.75" customHeight="1" thickBot="1" x14ac:dyDescent="0.25">
      <c r="A8" s="601">
        <v>46329</v>
      </c>
      <c r="B8" s="266">
        <v>0.30069444444444443</v>
      </c>
      <c r="C8" s="266">
        <v>0.54861111111111105</v>
      </c>
      <c r="D8" s="266">
        <v>0.56180555555555556</v>
      </c>
      <c r="E8" s="266"/>
      <c r="F8" s="266"/>
      <c r="G8" s="266"/>
      <c r="H8" s="266"/>
      <c r="I8" s="266">
        <v>0.67708333333333337</v>
      </c>
      <c r="J8" s="265">
        <v>0</v>
      </c>
      <c r="K8" s="265">
        <f t="shared" ref="K8:K10" si="0">IF((D8-C8)&lt;=$F$2,0,(D8-C8)-$F$2)</f>
        <v>0</v>
      </c>
      <c r="L8" s="319">
        <f t="shared" ref="L8:L10" si="1">(I8-B8)-K8-(H8-G8)-J8</f>
        <v>0.37638888888888894</v>
      </c>
      <c r="M8" s="405" t="s">
        <v>53</v>
      </c>
      <c r="N8" s="315"/>
      <c r="O8" s="212"/>
      <c r="P8" s="70">
        <f>MROUND(L8,"0:15")</f>
        <v>0.375</v>
      </c>
      <c r="Q8" s="461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3</v>
      </c>
      <c r="R8" s="461"/>
      <c r="S8" s="462"/>
      <c r="T8" s="463">
        <f>T7-L8</f>
        <v>5.9569444444444439</v>
      </c>
      <c r="U8" s="372"/>
      <c r="V8" s="522">
        <v>0</v>
      </c>
      <c r="W8" s="523"/>
      <c r="X8" s="743"/>
      <c r="Y8" s="532" t="str">
        <f>IF(M8="O",P8 - AA8,"0:00:00")</f>
        <v>0:00:00</v>
      </c>
      <c r="Z8" s="524">
        <f>IF(M8="C",P8,"0:00:00")</f>
        <v>0.375</v>
      </c>
      <c r="AA8" s="529">
        <v>0</v>
      </c>
      <c r="AB8" s="525">
        <f>SUM(Y8:Z8)</f>
        <v>0.375</v>
      </c>
      <c r="AC8" s="141">
        <v>0</v>
      </c>
      <c r="AD8" s="189"/>
    </row>
    <row r="9" spans="1:31" s="1" customFormat="1" ht="12.75" customHeight="1" thickBot="1" x14ac:dyDescent="0.25">
      <c r="A9" s="601">
        <v>46330</v>
      </c>
      <c r="B9" s="266">
        <v>0.30555555555555552</v>
      </c>
      <c r="C9" s="266">
        <v>0.52916666666666667</v>
      </c>
      <c r="D9" s="266">
        <v>0.54305555555555551</v>
      </c>
      <c r="E9" s="266"/>
      <c r="F9" s="266"/>
      <c r="G9" s="266"/>
      <c r="H9" s="266"/>
      <c r="I9" s="266">
        <v>0.62291666666666667</v>
      </c>
      <c r="J9" s="265">
        <v>0</v>
      </c>
      <c r="K9" s="265">
        <f t="shared" si="0"/>
        <v>0</v>
      </c>
      <c r="L9" s="319">
        <f t="shared" si="1"/>
        <v>0.31736111111111115</v>
      </c>
      <c r="M9" s="405" t="s">
        <v>45</v>
      </c>
      <c r="N9" s="315"/>
      <c r="O9" s="212"/>
      <c r="P9" s="70">
        <f>MROUND(L9,"0:15")</f>
        <v>0.3125</v>
      </c>
      <c r="Q9" s="46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-5</v>
      </c>
      <c r="R9" s="464"/>
      <c r="S9" s="465"/>
      <c r="T9" s="466">
        <f>T8-L9</f>
        <v>5.6395833333333325</v>
      </c>
      <c r="U9" s="366"/>
      <c r="V9" s="526">
        <v>0</v>
      </c>
      <c r="W9" s="527"/>
      <c r="X9" s="743"/>
      <c r="Y9" s="367">
        <f>IF(M9="O",P9 - AA9,"0:00:00")</f>
        <v>0.3125</v>
      </c>
      <c r="Z9" s="536" t="str">
        <f>IF(M9="C",P9,"0:00:00")</f>
        <v>0:00:00</v>
      </c>
      <c r="AA9" s="367" t="str">
        <f>IF(P9="M",Q9-P9,"0:00:00")</f>
        <v>0:00:00</v>
      </c>
      <c r="AB9" s="368">
        <f>SUM(Y9:Z9)</f>
        <v>0.3125</v>
      </c>
      <c r="AC9" s="195">
        <v>0</v>
      </c>
      <c r="AD9" s="196" t="b">
        <f>V9=AC9</f>
        <v>1</v>
      </c>
    </row>
    <row r="10" spans="1:31" ht="12.75" customHeight="1" thickBot="1" x14ac:dyDescent="0.25">
      <c r="A10" s="601">
        <v>46331</v>
      </c>
      <c r="B10" s="266">
        <v>0.3125</v>
      </c>
      <c r="C10" s="266"/>
      <c r="D10" s="266"/>
      <c r="E10" s="266"/>
      <c r="F10" s="266"/>
      <c r="G10" s="266"/>
      <c r="H10" s="266"/>
      <c r="I10" s="266">
        <v>0.625</v>
      </c>
      <c r="J10" s="265">
        <v>0</v>
      </c>
      <c r="K10" s="265">
        <f t="shared" si="0"/>
        <v>0</v>
      </c>
      <c r="L10" s="319">
        <f t="shared" si="1"/>
        <v>0.3125</v>
      </c>
      <c r="M10" s="405" t="s">
        <v>45</v>
      </c>
      <c r="N10" s="316"/>
      <c r="O10" s="214"/>
      <c r="P10" s="70">
        <f>MROUND(L10,"0:15")</f>
        <v>0.3125</v>
      </c>
      <c r="Q10" s="46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-5</v>
      </c>
      <c r="R10" s="464"/>
      <c r="S10" s="465"/>
      <c r="T10" s="466">
        <f>T9-L10</f>
        <v>5.3270833333333325</v>
      </c>
      <c r="U10" s="366"/>
      <c r="V10" s="526">
        <v>0.45833333333333331</v>
      </c>
      <c r="W10" s="527"/>
      <c r="X10" s="743"/>
      <c r="Y10" s="524">
        <f>IF(M10="O",P10 - AA10,"0:00:00")</f>
        <v>0.3125</v>
      </c>
      <c r="Z10" s="524" t="str">
        <f>IF(M10="C",P10,"0:00:00")</f>
        <v>0:00:00</v>
      </c>
      <c r="AA10" s="529" t="str">
        <f>IF(P10="M",Q10-P10,"0:00:00")</f>
        <v>0:00:00</v>
      </c>
      <c r="AB10" s="525">
        <f>SUM(Y10:Z10)</f>
        <v>0.3125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601">
        <v>46332</v>
      </c>
      <c r="B11" s="266">
        <v>0.31041666666666667</v>
      </c>
      <c r="C11" s="266">
        <v>0.54305555555555551</v>
      </c>
      <c r="D11" s="266">
        <v>0.55138888888888882</v>
      </c>
      <c r="E11" s="266"/>
      <c r="F11" s="266"/>
      <c r="G11" s="266"/>
      <c r="H11" s="266"/>
      <c r="I11" s="266">
        <v>0.63888888888888895</v>
      </c>
      <c r="J11" s="265">
        <v>0</v>
      </c>
      <c r="K11" s="265">
        <f>IF((D11-C11)&lt;=$F$2,0,(D11-C11)-$F$2)</f>
        <v>0</v>
      </c>
      <c r="L11" s="319">
        <f>(I11-B11)-K11-(H11-G11)-J11</f>
        <v>0.32847222222222228</v>
      </c>
      <c r="M11" s="405" t="s">
        <v>53</v>
      </c>
      <c r="N11" s="211"/>
      <c r="O11" s="212"/>
      <c r="P11" s="70">
        <f>MROUND(L11,"0:15")</f>
        <v>0.33333333333333331</v>
      </c>
      <c r="Q11" s="510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3</v>
      </c>
      <c r="R11" s="510"/>
      <c r="S11" s="511"/>
      <c r="T11" s="512">
        <f>T10-L11</f>
        <v>4.99861111111111</v>
      </c>
      <c r="U11" s="369"/>
      <c r="V11" s="526">
        <v>0.29166666666666669</v>
      </c>
      <c r="W11" s="527">
        <v>45261</v>
      </c>
      <c r="X11" s="744"/>
      <c r="Y11" s="538" t="str">
        <f>IF(M11="O",P11 - AA11,"0:00:00")</f>
        <v>0:00:00</v>
      </c>
      <c r="Z11" s="539">
        <f>IF(M11="C",P11,"0:00:00")</f>
        <v>0.33333333333333331</v>
      </c>
      <c r="AA11" s="530" t="str">
        <f>IF(P11="M",Q11-P11,"0:00:00")</f>
        <v>0:00:00</v>
      </c>
      <c r="AB11" s="528">
        <f>SUM(Y11:Z11)</f>
        <v>0.33333333333333331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1.3347222222222224</v>
      </c>
      <c r="M12" s="396"/>
      <c r="N12" s="122"/>
      <c r="O12" s="123"/>
      <c r="P12" s="720">
        <f>SUM(P7:P11)</f>
        <v>1.3333333333333333</v>
      </c>
      <c r="Q12" s="721"/>
      <c r="R12" s="721"/>
      <c r="S12" s="721"/>
      <c r="T12" s="722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397"/>
      <c r="N13" s="130"/>
      <c r="O13" s="131"/>
      <c r="P13" s="337"/>
      <c r="Q13" s="470">
        <f>Q11</f>
        <v>3</v>
      </c>
      <c r="R13" s="470"/>
      <c r="S13" s="471"/>
      <c r="T13" s="472"/>
      <c r="U13" s="374"/>
      <c r="V13" s="35"/>
      <c r="W13" s="69"/>
      <c r="X13" s="148"/>
      <c r="Y13" s="241"/>
      <c r="Z13" s="242"/>
      <c r="AA13" s="162"/>
      <c r="AB13" s="163"/>
      <c r="AC13" s="146"/>
      <c r="AD13" s="149"/>
    </row>
    <row r="14" spans="1:31" s="1" customFormat="1" ht="12" thickBot="1" x14ac:dyDescent="0.25">
      <c r="A14" s="311">
        <v>46335</v>
      </c>
      <c r="B14" s="312"/>
      <c r="C14" s="312"/>
      <c r="D14" s="312"/>
      <c r="E14" s="312"/>
      <c r="F14" s="312"/>
      <c r="G14" s="312"/>
      <c r="H14" s="312"/>
      <c r="I14" s="312"/>
      <c r="J14" s="595">
        <v>0</v>
      </c>
      <c r="K14" s="313">
        <f>IF((D14-C14)&lt;=$F$2,0,(D14-C14)-$F$2)</f>
        <v>0</v>
      </c>
      <c r="L14" s="507">
        <f>(I14-B14)-K14-(H14-G14)-J14</f>
        <v>0</v>
      </c>
      <c r="M14" s="400"/>
      <c r="N14" s="211"/>
      <c r="O14" s="212"/>
      <c r="P14" s="70">
        <f>MROUND(L14,"0:15")</f>
        <v>0</v>
      </c>
      <c r="Q14" s="473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3</v>
      </c>
      <c r="R14" s="473"/>
      <c r="S14" s="474"/>
      <c r="T14" s="475">
        <f>T11-L14</f>
        <v>4.99861111111111</v>
      </c>
      <c r="U14" s="370"/>
      <c r="V14" s="205">
        <v>0.30208333333333331</v>
      </c>
      <c r="W14" s="283">
        <v>45264</v>
      </c>
      <c r="X14" s="682"/>
      <c r="Y14" s="344" t="str">
        <f>IF(M14="O",P14 - AA14,"0:00:00")</f>
        <v>0:00:00</v>
      </c>
      <c r="Z14" s="344" t="str">
        <f>IF(M14="C",P14,"0:00:00")</f>
        <v>0:00:00</v>
      </c>
      <c r="AA14" s="534" t="str">
        <f>IF(P14="M",Q14-P14,"0:00:00")</f>
        <v>0:00:00</v>
      </c>
      <c r="AB14" s="535">
        <f>SUM(Y14:Z14)</f>
        <v>0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605">
        <v>46336</v>
      </c>
      <c r="B15" s="266">
        <v>0.30069444444444443</v>
      </c>
      <c r="C15" s="266">
        <v>0.54166666666666663</v>
      </c>
      <c r="D15" s="266">
        <v>0.5541666666666667</v>
      </c>
      <c r="E15" s="266"/>
      <c r="F15" s="266"/>
      <c r="G15" s="266"/>
      <c r="H15" s="266"/>
      <c r="I15" s="266">
        <v>0.67638888888888893</v>
      </c>
      <c r="J15" s="265">
        <v>0</v>
      </c>
      <c r="K15" s="265">
        <f>IF((D15-C15)&lt;=$F$2,0,(D15-C15)-$F$2)</f>
        <v>0</v>
      </c>
      <c r="L15" s="319">
        <f>(I15-B15)-K15-(H15-G15)-J15</f>
        <v>0.3756944444444445</v>
      </c>
      <c r="M15" s="453" t="s">
        <v>53</v>
      </c>
      <c r="N15" s="211"/>
      <c r="O15" s="212"/>
      <c r="P15" s="70">
        <f>MROUND(L15,"0:15")</f>
        <v>0.375</v>
      </c>
      <c r="Q15" s="46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4</v>
      </c>
      <c r="R15" s="464"/>
      <c r="S15" s="465"/>
      <c r="T15" s="466">
        <f>T14-L15</f>
        <v>4.6229166666666659</v>
      </c>
      <c r="U15" s="366"/>
      <c r="V15" s="206">
        <v>0.25</v>
      </c>
      <c r="W15" s="283">
        <v>45265</v>
      </c>
      <c r="X15" s="682"/>
      <c r="Y15" s="140" t="str">
        <f>IF(M15="O",P15 - AA15,"0:00:00")</f>
        <v>0:00:00</v>
      </c>
      <c r="Z15" s="140">
        <f>IF(M15="C",P15,"0:00:00")</f>
        <v>0.375</v>
      </c>
      <c r="AA15" s="140" t="str">
        <f>IF(P15="M",Q15-P15,"0:00:00")</f>
        <v>0:00:00</v>
      </c>
      <c r="AB15" s="140">
        <f>SUM(Y15:Z15)</f>
        <v>0.375</v>
      </c>
      <c r="AC15" s="141">
        <v>0.25</v>
      </c>
      <c r="AD15" s="189" t="b">
        <f>V15=AC15</f>
        <v>1</v>
      </c>
    </row>
    <row r="16" spans="1:31" s="1" customFormat="1" ht="12.75" customHeight="1" thickBot="1" x14ac:dyDescent="0.25">
      <c r="A16" s="605">
        <v>46337</v>
      </c>
      <c r="B16" s="266">
        <v>0.30972222222222223</v>
      </c>
      <c r="C16" s="266">
        <v>0.49583333333333335</v>
      </c>
      <c r="D16" s="266">
        <v>0.50902777777777775</v>
      </c>
      <c r="E16" s="266"/>
      <c r="F16" s="266"/>
      <c r="G16" s="266"/>
      <c r="H16" s="266"/>
      <c r="I16" s="266">
        <v>0.62361111111111112</v>
      </c>
      <c r="J16" s="265">
        <v>0</v>
      </c>
      <c r="K16" s="265">
        <f>IF((D16-C16)&lt;=$F$2,0,(D16-C16)-$F$2)</f>
        <v>0</v>
      </c>
      <c r="L16" s="319">
        <f>(I16-B16)-K16-(H16-G16)-J16</f>
        <v>0.31388888888888888</v>
      </c>
      <c r="M16" s="453" t="s">
        <v>45</v>
      </c>
      <c r="N16" s="211"/>
      <c r="O16" s="212"/>
      <c r="P16" s="70">
        <f>MROUND(L16,"0:15")</f>
        <v>0.3125</v>
      </c>
      <c r="Q16" s="461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6</v>
      </c>
      <c r="R16" s="461"/>
      <c r="S16" s="462"/>
      <c r="T16" s="476">
        <f>T15-P16</f>
        <v>4.3104166666666659</v>
      </c>
      <c r="U16" s="516"/>
      <c r="V16" s="206">
        <v>0.23958333333333334</v>
      </c>
      <c r="W16" s="283">
        <v>45266</v>
      </c>
      <c r="X16" s="682"/>
      <c r="Y16" s="140">
        <f>IF(M16="O",P16 - AA16,"0:00:00")</f>
        <v>0.3125</v>
      </c>
      <c r="Z16" s="140" t="str">
        <f>IF(M16="C",P16,"0:00:00")</f>
        <v>0:00:00</v>
      </c>
      <c r="AA16" s="140" t="str">
        <f>IF(P16="M",Q16-P16,"0:00:00")</f>
        <v>0:00:00</v>
      </c>
      <c r="AB16" s="140">
        <f>SUM(Y16:Z16)</f>
        <v>0.3125</v>
      </c>
      <c r="AC16" s="141">
        <v>0.23958333333333334</v>
      </c>
      <c r="AD16" s="189" t="b">
        <f>V16=AC16</f>
        <v>1</v>
      </c>
    </row>
    <row r="17" spans="1:30" ht="12.75" customHeight="1" thickBot="1" x14ac:dyDescent="0.25">
      <c r="A17" s="605">
        <v>46338</v>
      </c>
      <c r="B17" s="266">
        <v>0.30902777777777779</v>
      </c>
      <c r="C17" s="266">
        <v>0.49027777777777781</v>
      </c>
      <c r="D17" s="266">
        <v>0.50416666666666665</v>
      </c>
      <c r="E17" s="266"/>
      <c r="F17" s="266"/>
      <c r="G17" s="266"/>
      <c r="H17" s="266"/>
      <c r="I17" s="266">
        <v>0.6381944444444444</v>
      </c>
      <c r="J17" s="265">
        <v>0</v>
      </c>
      <c r="K17" s="265">
        <f>IF((D17-C17)&lt;=$F$2,0,(D17-C17)-$F$2)</f>
        <v>0</v>
      </c>
      <c r="L17" s="319">
        <f>(I17-B17)-K17-(H17-G17)-J17</f>
        <v>0.32916666666666661</v>
      </c>
      <c r="M17" s="453" t="s">
        <v>45</v>
      </c>
      <c r="N17" s="213"/>
      <c r="O17" s="214"/>
      <c r="P17" s="70">
        <f>MROUND(L17,"0:15")</f>
        <v>0.33333333333333331</v>
      </c>
      <c r="Q17" s="46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0</v>
      </c>
      <c r="R17" s="464"/>
      <c r="S17" s="465"/>
      <c r="T17" s="477">
        <f>T16-P17</f>
        <v>3.9770833333333324</v>
      </c>
      <c r="U17" s="371"/>
      <c r="V17" s="206">
        <v>0</v>
      </c>
      <c r="W17" s="283">
        <v>45267</v>
      </c>
      <c r="X17" s="682"/>
      <c r="Y17" s="140">
        <f>IF(M17="O",P17 - AA17,"0:00:00")</f>
        <v>0.33333333333333331</v>
      </c>
      <c r="Z17" s="140" t="str">
        <f>IF(M17="C",P17,"0:00:00")</f>
        <v>0:00:00</v>
      </c>
      <c r="AA17" s="537" t="str">
        <f>IF(P17="M",Q17-P17,"0:00:00")</f>
        <v>0:00:00</v>
      </c>
      <c r="AB17" s="344">
        <f>SUM(Y17:Z17)</f>
        <v>0.33333333333333331</v>
      </c>
      <c r="AC17" s="195">
        <v>0</v>
      </c>
      <c r="AD17" s="196" t="b">
        <f>V17=AC17</f>
        <v>1</v>
      </c>
    </row>
    <row r="18" spans="1:30" ht="13.5" thickBot="1" x14ac:dyDescent="0.25">
      <c r="A18" s="605">
        <v>46339</v>
      </c>
      <c r="B18" s="266">
        <v>0.30069444444444443</v>
      </c>
      <c r="C18" s="266"/>
      <c r="D18" s="266"/>
      <c r="E18" s="266"/>
      <c r="F18" s="266"/>
      <c r="G18" s="266"/>
      <c r="H18" s="266"/>
      <c r="I18" s="266">
        <v>0.61527777777777781</v>
      </c>
      <c r="J18" s="265">
        <v>0</v>
      </c>
      <c r="K18" s="265">
        <f>IF((D18-C18)&lt;=$F$2,0,(D18-C18)-$F$2)</f>
        <v>0</v>
      </c>
      <c r="L18" s="319">
        <f>(I18-B18)-K18-(H18-G18)-J18</f>
        <v>0.31458333333333338</v>
      </c>
      <c r="M18" s="405" t="s">
        <v>53</v>
      </c>
      <c r="N18" s="211"/>
      <c r="O18" s="212"/>
      <c r="P18" s="70">
        <f>MROUND(L18,"0:15")</f>
        <v>0.3125</v>
      </c>
      <c r="Q18" s="478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3</v>
      </c>
      <c r="R18" s="478"/>
      <c r="S18" s="479"/>
      <c r="T18" s="480">
        <f>T17-L18</f>
        <v>3.6624999999999992</v>
      </c>
      <c r="U18" s="353"/>
      <c r="V18" s="207">
        <v>0</v>
      </c>
      <c r="W18" s="283">
        <v>45268</v>
      </c>
      <c r="X18" s="682"/>
      <c r="Y18" s="364" t="str">
        <f>IF(M18="O",P18 - AA18,"0:00:00")</f>
        <v>0:00:00</v>
      </c>
      <c r="Z18" s="365">
        <f>IF(M18="C",P18,"0:00:00")</f>
        <v>0.3125</v>
      </c>
      <c r="AA18" s="143" t="str">
        <f>IF(P18="M",Q18-P18,"0:00:00")</f>
        <v>0:00:00</v>
      </c>
      <c r="AB18" s="159">
        <f>SUM(Y18:Z18)</f>
        <v>0.3125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1.3333333333333335</v>
      </c>
      <c r="M19" s="396"/>
      <c r="N19" s="122"/>
      <c r="O19" s="123"/>
      <c r="P19" s="723">
        <f>SUM(P14:P18)</f>
        <v>1.3333333333333333</v>
      </c>
      <c r="Q19" s="724"/>
      <c r="R19" s="724"/>
      <c r="S19" s="724"/>
      <c r="T19" s="725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454"/>
      <c r="N20" s="126"/>
      <c r="O20" s="127"/>
      <c r="P20" s="340"/>
      <c r="Q20" s="481">
        <f>Q18</f>
        <v>3</v>
      </c>
      <c r="R20" s="481"/>
      <c r="S20" s="482"/>
      <c r="T20" s="483"/>
      <c r="U20" s="385"/>
      <c r="V20" s="35"/>
      <c r="W20" s="79"/>
      <c r="X20" s="148"/>
      <c r="Y20" s="241"/>
      <c r="Z20" s="242"/>
      <c r="AA20" s="162"/>
      <c r="AB20" s="163"/>
      <c r="AC20" s="146"/>
      <c r="AD20" s="149"/>
    </row>
    <row r="21" spans="1:30" ht="12.75" customHeight="1" thickBot="1" x14ac:dyDescent="0.25">
      <c r="A21" s="282">
        <v>46342</v>
      </c>
      <c r="B21" s="266">
        <v>0.3</v>
      </c>
      <c r="C21" s="266">
        <v>0.47430555555555554</v>
      </c>
      <c r="D21" s="266">
        <v>0.48194444444444445</v>
      </c>
      <c r="E21" s="266"/>
      <c r="F21" s="266"/>
      <c r="G21" s="266"/>
      <c r="H21" s="266"/>
      <c r="I21" s="266">
        <v>0.62222222222222223</v>
      </c>
      <c r="J21" s="265">
        <v>0</v>
      </c>
      <c r="K21" s="265">
        <f>IF((D21-C21)&lt;=$F$2,0,(D21-C21)-$F$2)</f>
        <v>0</v>
      </c>
      <c r="L21" s="319">
        <f>(I21-B21)-K21-(H21-G21)-J21</f>
        <v>0.32222222222222224</v>
      </c>
      <c r="M21" s="400" t="s">
        <v>45</v>
      </c>
      <c r="N21" s="211"/>
      <c r="O21" s="212"/>
      <c r="P21" s="70">
        <f>MROUND(L21,"0:15")</f>
        <v>0.32291666666666663</v>
      </c>
      <c r="Q21" s="484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2</v>
      </c>
      <c r="R21" s="484"/>
      <c r="S21" s="485"/>
      <c r="T21" s="486">
        <f>T18-L21</f>
        <v>3.3402777777777768</v>
      </c>
      <c r="U21" s="515"/>
      <c r="V21" s="205">
        <v>0.36458333333333331</v>
      </c>
      <c r="W21" s="280">
        <v>45271</v>
      </c>
      <c r="X21" s="682"/>
      <c r="Y21" s="344">
        <f>IF(M21="O",P21 - AA21,"0:00:00")</f>
        <v>0.32291666666666663</v>
      </c>
      <c r="Z21" s="344" t="str">
        <f>IF(M21="C",P21,"0:00:00")</f>
        <v>0:00:00</v>
      </c>
      <c r="AA21" s="531" t="str">
        <f>IF(P21="M",Q21-P21,"0:00:00")</f>
        <v>0:00:00</v>
      </c>
      <c r="AB21" s="157">
        <f>SUM(Y21:Z21)</f>
        <v>0.32291666666666663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82">
        <v>46343</v>
      </c>
      <c r="B22" s="266">
        <v>0.31041666666666667</v>
      </c>
      <c r="C22" s="266">
        <v>0.51527777777777783</v>
      </c>
      <c r="D22" s="266">
        <v>0.52916666666666667</v>
      </c>
      <c r="E22" s="266">
        <v>0.63541666666666663</v>
      </c>
      <c r="F22" s="266">
        <v>0.65625</v>
      </c>
      <c r="G22" s="266"/>
      <c r="H22" s="266"/>
      <c r="I22" s="266">
        <v>0.7270833333333333</v>
      </c>
      <c r="J22" s="265">
        <f>IF((F22-E22)&lt;$F$1,$F$1,F22-E22)</f>
        <v>2.083333333333337E-2</v>
      </c>
      <c r="K22" s="265">
        <f>IF((D22-C22)&lt;=$F$2,0,(D22-C22)-$F$2)</f>
        <v>0</v>
      </c>
      <c r="L22" s="319">
        <f>(I22-B22)-K22-(H22-G22)-J22</f>
        <v>0.39583333333333326</v>
      </c>
      <c r="M22" s="453" t="s">
        <v>53</v>
      </c>
      <c r="N22" s="211"/>
      <c r="O22" s="212"/>
      <c r="P22" s="70">
        <f>MROUND(L22,"0:15")</f>
        <v>0.39583333333333331</v>
      </c>
      <c r="Q22" s="461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2</v>
      </c>
      <c r="R22" s="461"/>
      <c r="S22" s="462"/>
      <c r="T22" s="463">
        <f>T21-L22</f>
        <v>2.9444444444444438</v>
      </c>
      <c r="U22" s="372"/>
      <c r="V22" s="206">
        <v>0.36458333333333331</v>
      </c>
      <c r="W22" s="280">
        <v>45272</v>
      </c>
      <c r="X22" s="682"/>
      <c r="Y22" s="140" t="str">
        <f>IF(M22="O",P22 - AA22,"0:00:00")</f>
        <v>0:00:00</v>
      </c>
      <c r="Z22" s="140">
        <f>IF(M22="C",P22,"0:00:00")</f>
        <v>0.39583333333333331</v>
      </c>
      <c r="AA22" s="504" t="str">
        <f>IF(P22="M",Q22-P22,"0:00:00")</f>
        <v>0:00:00</v>
      </c>
      <c r="AB22" s="158">
        <f>SUM(Y22:Z22)</f>
        <v>0.39583333333333331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82">
        <v>46344</v>
      </c>
      <c r="B23" s="266">
        <v>0.30416666666666664</v>
      </c>
      <c r="C23" s="266">
        <v>0.51527777777777783</v>
      </c>
      <c r="D23" s="266">
        <v>0.52916666666666667</v>
      </c>
      <c r="E23" s="266"/>
      <c r="F23" s="266"/>
      <c r="G23" s="266"/>
      <c r="H23" s="266"/>
      <c r="I23" s="266">
        <v>0.63680555555555551</v>
      </c>
      <c r="J23" s="265">
        <v>0</v>
      </c>
      <c r="K23" s="265">
        <f>IF((D23-C23)&lt;=$F$2,0,(D23-C23)-$F$2)</f>
        <v>0</v>
      </c>
      <c r="L23" s="319">
        <f>(I23-B23)-K23-(H23-G23)-J23</f>
        <v>0.33263888888888887</v>
      </c>
      <c r="M23" s="453" t="s">
        <v>45</v>
      </c>
      <c r="N23" s="211"/>
      <c r="O23" s="212"/>
      <c r="P23" s="70">
        <f>MROUND(L23,"0:15")</f>
        <v>0.33333333333333331</v>
      </c>
      <c r="Q23" s="461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1</v>
      </c>
      <c r="R23" s="461"/>
      <c r="S23" s="462"/>
      <c r="T23" s="463">
        <f>T22-L23</f>
        <v>2.6118055555555548</v>
      </c>
      <c r="U23" s="372"/>
      <c r="V23" s="206">
        <v>0.45833333333333331</v>
      </c>
      <c r="W23" s="280">
        <v>45273</v>
      </c>
      <c r="X23" s="682"/>
      <c r="Y23" s="140">
        <f>IF(M23="O",P23 - AA23,"0:00:00")</f>
        <v>0.33333333333333331</v>
      </c>
      <c r="Z23" s="140" t="str">
        <f>IF(M23="C",P23,"0:00:00")</f>
        <v>0:00:00</v>
      </c>
      <c r="AA23" s="504" t="str">
        <f>IF(P23="M",Q23-P23,"0:00:00")</f>
        <v>0:00:00</v>
      </c>
      <c r="AB23" s="158">
        <f>SUM(Y23:Z23)</f>
        <v>0.33333333333333331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82">
        <v>46345</v>
      </c>
      <c r="B24" s="266">
        <v>0.3</v>
      </c>
      <c r="C24" s="266">
        <v>0.54097222222222219</v>
      </c>
      <c r="D24" s="266">
        <v>0.55486111111111114</v>
      </c>
      <c r="E24" s="266"/>
      <c r="F24" s="266"/>
      <c r="G24" s="266"/>
      <c r="H24" s="266"/>
      <c r="I24" s="266">
        <v>0.61527777777777781</v>
      </c>
      <c r="J24" s="265">
        <v>0</v>
      </c>
      <c r="K24" s="265">
        <f>IF((D24-C24)&lt;=$F$2,0,(D24-C24)-$F$2)</f>
        <v>6.2450045135165055E-17</v>
      </c>
      <c r="L24" s="319">
        <f>(I24-B24)-K24-(H24-G24)-J24</f>
        <v>0.31527777777777777</v>
      </c>
      <c r="M24" s="453" t="s">
        <v>53</v>
      </c>
      <c r="N24" s="211"/>
      <c r="O24" s="212"/>
      <c r="P24" s="70">
        <f>MROUND(L24,"0:15")</f>
        <v>0.3125</v>
      </c>
      <c r="Q24" s="487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5</v>
      </c>
      <c r="R24" s="487"/>
      <c r="S24" s="488"/>
      <c r="T24" s="489">
        <f>T23-L24</f>
        <v>2.2965277777777771</v>
      </c>
      <c r="U24" s="372"/>
      <c r="V24" s="182">
        <v>0.32291666666666669</v>
      </c>
      <c r="W24" s="280">
        <v>45274</v>
      </c>
      <c r="X24" s="682"/>
      <c r="Y24" s="140" t="str">
        <f>IF(M24="O",P24 - AA24,"0:00:00")</f>
        <v>0:00:00</v>
      </c>
      <c r="Z24" s="140">
        <f>IF(M24="C",P24,"0:00:00")</f>
        <v>0.3125</v>
      </c>
      <c r="AA24" s="504" t="str">
        <f>IF(P24="M",Q24-P24,"0:00:00")</f>
        <v>0:00:00</v>
      </c>
      <c r="AB24" s="158">
        <f>SUM(Y24:Z24)</f>
        <v>0.3125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282">
        <v>46346</v>
      </c>
      <c r="B25" s="266">
        <v>0.31041666666666667</v>
      </c>
      <c r="C25" s="266"/>
      <c r="D25" s="266"/>
      <c r="E25" s="266"/>
      <c r="F25" s="266"/>
      <c r="G25" s="266"/>
      <c r="H25" s="266"/>
      <c r="I25" s="266">
        <v>0.64374999999999993</v>
      </c>
      <c r="J25" s="265">
        <v>0</v>
      </c>
      <c r="K25" s="265">
        <f>IF((D25-C25)&lt;=$F$2,0,(D25-C25)-$F$2)</f>
        <v>0</v>
      </c>
      <c r="L25" s="319">
        <f>(I25-B25)-K25-(H25-G25)-J25</f>
        <v>0.33333333333333326</v>
      </c>
      <c r="M25" s="405" t="s">
        <v>53</v>
      </c>
      <c r="N25" s="211"/>
      <c r="O25" s="212"/>
      <c r="P25" s="70">
        <f>MROUND(L25,"0:15")</f>
        <v>0.33333333333333331</v>
      </c>
      <c r="Q25" s="490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5</v>
      </c>
      <c r="R25" s="490"/>
      <c r="S25" s="491"/>
      <c r="T25" s="492">
        <f>T24-L25</f>
        <v>1.9631944444444438</v>
      </c>
      <c r="U25" s="373"/>
      <c r="V25" s="182">
        <v>0.36458333333333331</v>
      </c>
      <c r="W25" s="280">
        <v>45275</v>
      </c>
      <c r="X25" s="682"/>
      <c r="Y25" s="364" t="str">
        <f>IF(M25="O",P25 - AA25,"0:00:00")</f>
        <v>0:00:00</v>
      </c>
      <c r="Z25" s="365">
        <f>IF(M25="C",P25,"0:00:00")</f>
        <v>0.33333333333333331</v>
      </c>
      <c r="AA25" s="143" t="str">
        <f>IF(P25="M",Q25-P25,"0:00:00")</f>
        <v>0:00:00</v>
      </c>
      <c r="AB25" s="159">
        <f>SUM(Y25:Z25)</f>
        <v>0.33333333333333331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1.6993055555555554</v>
      </c>
      <c r="M26" s="396"/>
      <c r="N26" s="128"/>
      <c r="O26" s="129"/>
      <c r="P26" s="723">
        <f>SUM(P21:P25)</f>
        <v>1.6979166666666665</v>
      </c>
      <c r="Q26" s="724"/>
      <c r="R26" s="724"/>
      <c r="S26" s="724"/>
      <c r="T26" s="725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417"/>
      <c r="N27" s="130"/>
      <c r="O27" s="131"/>
      <c r="P27" s="337"/>
      <c r="Q27" s="470">
        <f>Q25</f>
        <v>5</v>
      </c>
      <c r="R27" s="470"/>
      <c r="S27" s="471"/>
      <c r="T27" s="472"/>
      <c r="U27" s="374"/>
      <c r="V27" s="35"/>
      <c r="W27" s="81"/>
      <c r="X27" s="148"/>
      <c r="Y27" s="241"/>
      <c r="Z27" s="242"/>
      <c r="AA27" s="162"/>
      <c r="AB27" s="163"/>
      <c r="AC27" s="146"/>
      <c r="AD27" s="149"/>
    </row>
    <row r="28" spans="1:30" ht="15.75" customHeight="1" thickBot="1" x14ac:dyDescent="0.25">
      <c r="A28" s="282">
        <v>46349</v>
      </c>
      <c r="B28" s="266">
        <v>0.30833333333333335</v>
      </c>
      <c r="C28" s="266">
        <v>0.5229166666666667</v>
      </c>
      <c r="D28" s="266">
        <v>0.53680555555555554</v>
      </c>
      <c r="E28" s="266"/>
      <c r="F28" s="266"/>
      <c r="G28" s="266"/>
      <c r="H28" s="266"/>
      <c r="I28" s="266">
        <v>0.62569444444444444</v>
      </c>
      <c r="J28" s="265">
        <v>0</v>
      </c>
      <c r="K28" s="265">
        <f>IF((D28-C28)&lt;=$F$2,0,(D28-C28)-$F$2)</f>
        <v>0</v>
      </c>
      <c r="L28" s="319">
        <f>(I28-B28)-K28-(H28-G28)-J28</f>
        <v>0.31736111111111109</v>
      </c>
      <c r="M28" s="453" t="s">
        <v>45</v>
      </c>
      <c r="N28" s="211"/>
      <c r="O28" s="212"/>
      <c r="P28" s="70">
        <f>MROUND(L28,"0:15")</f>
        <v>0.3125</v>
      </c>
      <c r="Q28" s="484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-3</v>
      </c>
      <c r="R28" s="484"/>
      <c r="S28" s="485"/>
      <c r="T28" s="486">
        <f>T25-L28</f>
        <v>1.6458333333333326</v>
      </c>
      <c r="U28" s="100"/>
      <c r="V28" s="205">
        <v>0.30208333333333331</v>
      </c>
      <c r="W28" s="280">
        <v>45278</v>
      </c>
      <c r="X28" s="682"/>
      <c r="Y28" s="344">
        <f>IF(M28="O",P28 - AA28,"0:00:00")</f>
        <v>0.3125</v>
      </c>
      <c r="Z28" s="344" t="str">
        <f>IF(M28="C",P28,"0:00:00")</f>
        <v>0:00:00</v>
      </c>
      <c r="AA28" s="531" t="str">
        <f>IF(P28="M",Q28-P28,"0:00:00")</f>
        <v>0:00:00</v>
      </c>
      <c r="AB28" s="157">
        <f>SUM(Y28:Z28)</f>
        <v>0.3125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282">
        <v>46350</v>
      </c>
      <c r="B29" s="266">
        <v>0.32291666666666669</v>
      </c>
      <c r="C29" s="266">
        <v>0.54166666666666663</v>
      </c>
      <c r="D29" s="266">
        <v>0.5541666666666667</v>
      </c>
      <c r="E29" s="266">
        <v>0.65069444444444446</v>
      </c>
      <c r="F29" s="266">
        <v>0.66875000000000007</v>
      </c>
      <c r="G29" s="266"/>
      <c r="H29" s="266"/>
      <c r="I29" s="266">
        <v>0.73888888888888893</v>
      </c>
      <c r="J29" s="265">
        <f>IF((F29-E29)&lt;$F$1,$F$1,F29-E29)</f>
        <v>2.0833333333333329E-2</v>
      </c>
      <c r="K29" s="265">
        <f>IF((D29-C29)&lt;=$F$2,0,(D29-C29)-$F$2)</f>
        <v>0</v>
      </c>
      <c r="L29" s="319">
        <f>(I29-B29)-K29-(H29-G29)-J29</f>
        <v>0.39513888888888893</v>
      </c>
      <c r="M29" s="453" t="s">
        <v>53</v>
      </c>
      <c r="N29" s="211"/>
      <c r="O29" s="212"/>
      <c r="P29" s="70">
        <f>MROUND(L29,"0:15")</f>
        <v>0.39583333333333331</v>
      </c>
      <c r="Q29" s="461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-4</v>
      </c>
      <c r="R29" s="461"/>
      <c r="S29" s="462"/>
      <c r="T29" s="463">
        <f>T28-L29</f>
        <v>1.2506944444444437</v>
      </c>
      <c r="U29" s="97"/>
      <c r="V29" s="206">
        <v>0</v>
      </c>
      <c r="W29" s="280">
        <v>45279</v>
      </c>
      <c r="X29" s="682"/>
      <c r="Y29" s="140" t="str">
        <f>IF(M29="O",P29 - AA29,"0:00:00")</f>
        <v>0:00:00</v>
      </c>
      <c r="Z29" s="140">
        <f>IF(M29="C",P29,"0:00:00")</f>
        <v>0.39583333333333331</v>
      </c>
      <c r="AA29" s="504" t="str">
        <f>IF(P29="M",Q29-P29,"0:00:00")</f>
        <v>0:00:00</v>
      </c>
      <c r="AB29" s="158">
        <f>SUM(Y29:Z29)</f>
        <v>0.39583333333333331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282">
        <v>46351</v>
      </c>
      <c r="B30" s="266">
        <v>0.30972222222222223</v>
      </c>
      <c r="C30" s="266">
        <v>0.49583333333333335</v>
      </c>
      <c r="D30" s="266">
        <v>0.50902777777777775</v>
      </c>
      <c r="E30" s="266"/>
      <c r="F30" s="266"/>
      <c r="G30" s="266"/>
      <c r="H30" s="266"/>
      <c r="I30" s="266">
        <v>0.62361111111111112</v>
      </c>
      <c r="J30" s="265">
        <v>0</v>
      </c>
      <c r="K30" s="265">
        <f>IF((D30-C30)&lt;=$F$2,0,(D30-C30)-$F$2)</f>
        <v>0</v>
      </c>
      <c r="L30" s="319">
        <f>(I30-B30)-K30-(H30-G30)-J30</f>
        <v>0.31388888888888888</v>
      </c>
      <c r="M30" s="453" t="s">
        <v>45</v>
      </c>
      <c r="N30" s="211"/>
      <c r="O30" s="212"/>
      <c r="P30" s="70">
        <f>MROUND(L30,"0:15")</f>
        <v>0.3125</v>
      </c>
      <c r="Q30" s="461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-2</v>
      </c>
      <c r="R30" s="461"/>
      <c r="S30" s="462"/>
      <c r="T30" s="463">
        <f>T29-L30</f>
        <v>0.93680555555555478</v>
      </c>
      <c r="U30" s="97"/>
      <c r="V30" s="206">
        <v>0.35416666666666669</v>
      </c>
      <c r="W30" s="280">
        <v>45280</v>
      </c>
      <c r="X30" s="682"/>
      <c r="Y30" s="140">
        <f>IF(M30="O",P30 - AA30,"0:00:00")</f>
        <v>0.3125</v>
      </c>
      <c r="Z30" s="140" t="str">
        <f>IF(M30="C",P30,"0:00:00")</f>
        <v>0:00:00</v>
      </c>
      <c r="AA30" s="504" t="str">
        <f>IF(P30="M",Q30-P30,"0:00:00")</f>
        <v>0:00:00</v>
      </c>
      <c r="AB30" s="158">
        <f>SUM(Y30:Z30)</f>
        <v>0.3125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282">
        <v>46352</v>
      </c>
      <c r="B31" s="266">
        <v>0.30902777777777779</v>
      </c>
      <c r="C31" s="266">
        <v>0.49027777777777781</v>
      </c>
      <c r="D31" s="266">
        <v>0.50416666666666665</v>
      </c>
      <c r="E31" s="266"/>
      <c r="F31" s="266"/>
      <c r="G31" s="266"/>
      <c r="H31" s="266"/>
      <c r="I31" s="266">
        <v>0.6381944444444444</v>
      </c>
      <c r="J31" s="265">
        <v>0</v>
      </c>
      <c r="K31" s="265">
        <f>IF((D31-C31)&lt;=$F$2,0,(D31-C31)-$F$2)</f>
        <v>0</v>
      </c>
      <c r="L31" s="319">
        <f>(I31-B31)-K31-(H31-G31)-J31</f>
        <v>0.32916666666666661</v>
      </c>
      <c r="M31" s="453" t="s">
        <v>45</v>
      </c>
      <c r="N31" s="211"/>
      <c r="O31" s="212"/>
      <c r="P31" s="70">
        <f>MROUND(L31,"0:15")</f>
        <v>0.33333333333333331</v>
      </c>
      <c r="Q31" s="461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7</v>
      </c>
      <c r="R31" s="461"/>
      <c r="S31" s="462"/>
      <c r="T31" s="463">
        <f>T30-L31</f>
        <v>0.60763888888888817</v>
      </c>
      <c r="U31" s="97"/>
      <c r="V31" s="206">
        <v>0.41666666666666669</v>
      </c>
      <c r="W31" s="280">
        <v>45281</v>
      </c>
      <c r="X31" s="682"/>
      <c r="Y31" s="140">
        <f>IF(M31="O",P31 - AA31,"0:00:00")</f>
        <v>0.33333333333333331</v>
      </c>
      <c r="Z31" s="140" t="str">
        <f>IF(M31="C",P31,"0:00:00")</f>
        <v>0:00:00</v>
      </c>
      <c r="AA31" s="504" t="str">
        <f>IF(P31="M",Q31-P31,"0:00:00")</f>
        <v>0:00:00</v>
      </c>
      <c r="AB31" s="158">
        <f>SUM(Y31:Z31)</f>
        <v>0.33333333333333331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282">
        <v>46353</v>
      </c>
      <c r="B32" s="266">
        <v>0.30069444444444443</v>
      </c>
      <c r="C32" s="266"/>
      <c r="D32" s="266"/>
      <c r="E32" s="266"/>
      <c r="F32" s="266"/>
      <c r="G32" s="266"/>
      <c r="H32" s="266"/>
      <c r="I32" s="266">
        <v>0.61944444444444446</v>
      </c>
      <c r="J32" s="265">
        <v>0</v>
      </c>
      <c r="K32" s="265">
        <f>IF((D32-C32)&lt;=$F$2,0,(D32-C32)-$F$2)</f>
        <v>0</v>
      </c>
      <c r="L32" s="319">
        <f>(I32-B32)-K32-(H32-G32)-J32</f>
        <v>0.31875000000000003</v>
      </c>
      <c r="M32" s="405" t="s">
        <v>53</v>
      </c>
      <c r="N32" s="211"/>
      <c r="O32" s="212"/>
      <c r="P32" s="70">
        <f>MROUND(L32,"0:15")</f>
        <v>0.32291666666666663</v>
      </c>
      <c r="Q32" s="461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1</v>
      </c>
      <c r="R32" s="461"/>
      <c r="S32" s="462"/>
      <c r="T32" s="463">
        <f>T31-L32</f>
        <v>0.28888888888888814</v>
      </c>
      <c r="U32" s="111"/>
      <c r="V32" s="78">
        <v>0.35416666666666669</v>
      </c>
      <c r="W32" s="280">
        <v>45282</v>
      </c>
      <c r="X32" s="682"/>
      <c r="Y32" s="364" t="str">
        <f>IF(M32="O",P32 - AA32,"0:00:00")</f>
        <v>0:00:00</v>
      </c>
      <c r="Z32" s="365">
        <f>IF(M32="C",P32,"0:00:00")</f>
        <v>0.32291666666666663</v>
      </c>
      <c r="AA32" s="143" t="str">
        <f>IF(P32="M",Q32-P32,"0:00:00")</f>
        <v>0:00:00</v>
      </c>
      <c r="AB32" s="159">
        <f>SUM(Y32:Z32)</f>
        <v>0.32291666666666663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1.6743055555555557</v>
      </c>
      <c r="M33" s="396"/>
      <c r="N33" s="128"/>
      <c r="O33" s="129"/>
      <c r="P33" s="723">
        <f>SUM(P28:P32)</f>
        <v>1.677083333333333</v>
      </c>
      <c r="Q33" s="724"/>
      <c r="R33" s="724"/>
      <c r="S33" s="724"/>
      <c r="T33" s="725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395"/>
      <c r="N34" s="130"/>
      <c r="O34" s="131"/>
      <c r="P34" s="337"/>
      <c r="Q34" s="470">
        <f>Q32</f>
        <v>1</v>
      </c>
      <c r="R34" s="470"/>
      <c r="S34" s="471"/>
      <c r="T34" s="472"/>
      <c r="U34" s="374"/>
      <c r="V34" s="35"/>
      <c r="W34" s="82"/>
      <c r="X34" s="148"/>
      <c r="Y34" s="241"/>
      <c r="Z34" s="242"/>
      <c r="AA34" s="162"/>
      <c r="AB34" s="163"/>
      <c r="AC34" s="146"/>
      <c r="AD34" s="149"/>
    </row>
    <row r="35" spans="1:30" ht="12.75" customHeight="1" thickBot="1" x14ac:dyDescent="0.25">
      <c r="A35" s="605">
        <v>46356</v>
      </c>
      <c r="B35" s="608">
        <v>0.30833333333333335</v>
      </c>
      <c r="C35" s="608">
        <v>0.5229166666666667</v>
      </c>
      <c r="D35" s="608">
        <v>0.53680555555555554</v>
      </c>
      <c r="E35" s="608"/>
      <c r="F35" s="608"/>
      <c r="G35" s="608"/>
      <c r="H35" s="608"/>
      <c r="I35" s="608">
        <v>0.62083333333333335</v>
      </c>
      <c r="J35" s="609">
        <v>0</v>
      </c>
      <c r="K35" s="609">
        <v>0</v>
      </c>
      <c r="L35" s="610">
        <f>(I35-B35)-K35-(H35-G35)-J35</f>
        <v>0.3125</v>
      </c>
      <c r="M35" s="400" t="s">
        <v>45</v>
      </c>
      <c r="N35" s="211"/>
      <c r="O35" s="212"/>
      <c r="P35" s="70">
        <f>MROUND(L35,"0:15")</f>
        <v>0.3125</v>
      </c>
      <c r="Q35" s="484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1</v>
      </c>
      <c r="R35" s="484"/>
      <c r="S35" s="485"/>
      <c r="T35" s="486">
        <f>T32-L35</f>
        <v>-2.361111111111186E-2</v>
      </c>
      <c r="U35" s="100"/>
      <c r="V35" s="151">
        <v>0.33333333333333331</v>
      </c>
      <c r="W35" s="280">
        <v>45285</v>
      </c>
      <c r="X35" s="682"/>
      <c r="Y35" s="344">
        <f>IF(M35="O",P35 - AA35,"0:00:00")</f>
        <v>0.3125</v>
      </c>
      <c r="Z35" s="344" t="str">
        <f t="shared" ref="Z35:Z39" si="2">IF(M35="C",P35,"0:00:00")</f>
        <v>0:00:00</v>
      </c>
      <c r="AA35" s="531" t="str">
        <f>IF(P35="M",Q35-P35,"0:00:00")</f>
        <v>0:00:00</v>
      </c>
      <c r="AB35" s="157">
        <f>SUM(Y35:Z35)</f>
        <v>0.3125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592"/>
      <c r="B36" s="588"/>
      <c r="C36" s="588"/>
      <c r="D36" s="588"/>
      <c r="E36" s="588"/>
      <c r="F36" s="588"/>
      <c r="G36" s="588"/>
      <c r="H36" s="588"/>
      <c r="I36" s="588"/>
      <c r="J36" s="589"/>
      <c r="K36" s="589"/>
      <c r="L36" s="590"/>
      <c r="M36" s="453"/>
      <c r="N36" s="211"/>
      <c r="O36" s="212"/>
      <c r="P36" s="70">
        <f>TIME(MID(TEXT(L36,"hh:mm:ss"),1,2), IF(ABS((MID(TEXT(L36,"hh:mm:ss"),4,2)+Q35)-FLOOR((MID(TEXT(L36,"hh:mm:ss"),4,2)+Q35),15))&gt;=ABS((MID(TEXT(L36,"hh:mm:ss"),4,2)+Q35)-CEILING((MID(TEXT(L36,"hh:mm:ss"),4,2)+Q35),15)),CEILING((MID(TEXT(L36,"hh:mm:ss"),4,2)+Q35),15),FLOOR((MID(TEXT(L36,"hh:mm:ss"),4,2)+Q35),15)), MID(TEXT(L36,"hh:mm:ss"),7,2))</f>
        <v>0</v>
      </c>
      <c r="Q36" s="461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1</v>
      </c>
      <c r="R36" s="461"/>
      <c r="S36" s="462"/>
      <c r="T36" s="463">
        <f>T35-L36</f>
        <v>-2.361111111111186E-2</v>
      </c>
      <c r="U36" s="97"/>
      <c r="V36" s="77">
        <v>0.45833333333333331</v>
      </c>
      <c r="W36" s="280">
        <v>45286</v>
      </c>
      <c r="X36" s="682"/>
      <c r="Y36" s="140" t="str">
        <f>IF(M36="O",P36 - AA36,"0:00:00")</f>
        <v>0:00:00</v>
      </c>
      <c r="Z36" s="140" t="str">
        <f t="shared" si="2"/>
        <v>0:00:00</v>
      </c>
      <c r="AA36" s="504" t="str">
        <f>IF(P36="M",Q36-P36,"0:00:00")</f>
        <v>0:00:00</v>
      </c>
      <c r="AB36" s="158">
        <f>SUM(Y36:Z36)</f>
        <v>0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592"/>
      <c r="B37" s="588"/>
      <c r="C37" s="588"/>
      <c r="D37" s="588"/>
      <c r="E37" s="588"/>
      <c r="F37" s="588"/>
      <c r="G37" s="588"/>
      <c r="H37" s="588"/>
      <c r="I37" s="588"/>
      <c r="J37" s="589"/>
      <c r="K37" s="589"/>
      <c r="L37" s="590"/>
      <c r="M37" s="453"/>
      <c r="N37" s="211"/>
      <c r="O37" s="212"/>
      <c r="P37" s="70">
        <f>TIME(MID(TEXT(L37,"hh:mm:ss"),1,2), IF(ABS((MID(TEXT(L37,"hh:mm:ss"),4,2)+Q36)-FLOOR((MID(TEXT(L37,"hh:mm:ss"),4,2)+Q36),15))&gt;=ABS((MID(TEXT(L37,"hh:mm:ss"),4,2)+Q36)-CEILING((MID(TEXT(L37,"hh:mm:ss"),4,2)+Q36),15)),CEILING((MID(TEXT(L37,"hh:mm:ss"),4,2)+Q36),15),FLOOR((MID(TEXT(L37,"hh:mm:ss"),4,2)+Q36),15)), MID(TEXT(L37,"hh:mm:ss"),7,2))</f>
        <v>0</v>
      </c>
      <c r="Q37" s="461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1</v>
      </c>
      <c r="R37" s="461"/>
      <c r="S37" s="462"/>
      <c r="T37" s="463">
        <f>T36-L37</f>
        <v>-2.361111111111186E-2</v>
      </c>
      <c r="U37" s="97"/>
      <c r="V37" s="77">
        <v>0.33333333333333331</v>
      </c>
      <c r="W37" s="280">
        <v>45287</v>
      </c>
      <c r="X37" s="682"/>
      <c r="Y37" s="140" t="str">
        <f>IF(M37="O",P37 - AA37,"0:00:00")</f>
        <v>0:00:00</v>
      </c>
      <c r="Z37" s="140" t="str">
        <f t="shared" si="2"/>
        <v>0:00:00</v>
      </c>
      <c r="AA37" s="504" t="str">
        <f>IF(P37="M",Q37-P37,"0:00:00")</f>
        <v>0:00:00</v>
      </c>
      <c r="AB37" s="158">
        <f>SUM(Y37:Z37)</f>
        <v>0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592"/>
      <c r="B38" s="588"/>
      <c r="C38" s="588"/>
      <c r="D38" s="588"/>
      <c r="E38" s="588"/>
      <c r="F38" s="588"/>
      <c r="G38" s="588"/>
      <c r="H38" s="588"/>
      <c r="I38" s="588"/>
      <c r="J38" s="589"/>
      <c r="K38" s="589"/>
      <c r="L38" s="590"/>
      <c r="M38" s="453"/>
      <c r="N38" s="211"/>
      <c r="O38" s="212"/>
      <c r="P38" s="70">
        <f>TIME(MID(TEXT(L38,"hh:mm:ss"),1,2), IF(ABS((MID(TEXT(L38,"hh:mm:ss"),4,2)+Q37)-FLOOR((MID(TEXT(L38,"hh:mm:ss"),4,2)+Q37),15))&gt;=ABS((MID(TEXT(L38,"hh:mm:ss"),4,2)+Q37)-CEILING((MID(TEXT(L38,"hh:mm:ss"),4,2)+Q37),15)),CEILING((MID(TEXT(L38,"hh:mm:ss"),4,2)+Q37),15),FLOOR((MID(TEXT(L38,"hh:mm:ss"),4,2)+Q37),15)), MID(TEXT(L38,"hh:mm:ss"),7,2))</f>
        <v>0</v>
      </c>
      <c r="Q38" s="493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1</v>
      </c>
      <c r="R38" s="493"/>
      <c r="S38" s="494"/>
      <c r="T38" s="495">
        <f>T37-L38</f>
        <v>-2.361111111111186E-2</v>
      </c>
      <c r="U38" s="97"/>
      <c r="V38" s="77">
        <v>0.45833333333333331</v>
      </c>
      <c r="W38" s="280">
        <v>45288</v>
      </c>
      <c r="X38" s="682"/>
      <c r="Y38" s="140" t="str">
        <f>IF(M38="O",P38 - AA38,"0:00:00")</f>
        <v>0:00:00</v>
      </c>
      <c r="Z38" s="140" t="str">
        <f t="shared" si="2"/>
        <v>0:00:00</v>
      </c>
      <c r="AA38" s="504" t="str">
        <f>IF(P38="M",Q38-P38,"0:00:00")</f>
        <v>0:00:00</v>
      </c>
      <c r="AB38" s="158">
        <f>SUM(Y38:Z38)</f>
        <v>0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592"/>
      <c r="B39" s="588"/>
      <c r="C39" s="588"/>
      <c r="D39" s="588"/>
      <c r="E39" s="588"/>
      <c r="F39" s="588"/>
      <c r="G39" s="588"/>
      <c r="H39" s="588"/>
      <c r="I39" s="588"/>
      <c r="J39" s="589"/>
      <c r="K39" s="589"/>
      <c r="L39" s="590"/>
      <c r="M39" s="404"/>
      <c r="N39" s="211"/>
      <c r="O39" s="212"/>
      <c r="P39" s="70">
        <f>TIME(MID(TEXT(L39,"hh:mm:ss"),1,2), IF(ABS((MID(TEXT(L39,"hh:mm:ss"),4,2)+Q38)-FLOOR((MID(TEXT(L39,"hh:mm:ss"),4,2)+Q38),15))&gt;=ABS((MID(TEXT(L39,"hh:mm:ss"),4,2)+Q38)-CEILING((MID(TEXT(L39,"hh:mm:ss"),4,2)+Q38),15)),CEILING((MID(TEXT(L39,"hh:mm:ss"),4,2)+Q38),15),FLOOR((MID(TEXT(L39,"hh:mm:ss"),4,2)+Q38),15)), MID(TEXT(L39,"hh:mm:ss"),7,2))</f>
        <v>0</v>
      </c>
      <c r="Q39" s="496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496"/>
      <c r="S39" s="497"/>
      <c r="T39" s="498">
        <f>T38-L39</f>
        <v>-2.361111111111186E-2</v>
      </c>
      <c r="U39" s="94"/>
      <c r="V39" s="78"/>
      <c r="W39" s="280">
        <v>45289</v>
      </c>
      <c r="X39" s="709"/>
      <c r="Y39" s="343" t="str">
        <f>IF(M39="O",P39 - AA39,"0:00:00")</f>
        <v>0:00:00</v>
      </c>
      <c r="Z39" s="344" t="str">
        <f t="shared" si="2"/>
        <v>0:00:00</v>
      </c>
      <c r="AA39" s="152" t="str">
        <f>IF(P39="M",Q39-P39,"0:00:00")</f>
        <v>0:00:00</v>
      </c>
      <c r="AB39" s="164">
        <f>SUM(Y39:Z39)</f>
        <v>0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391">
        <f>SUM(L35:L39)</f>
        <v>0.3125</v>
      </c>
      <c r="M40" s="406"/>
      <c r="N40" s="132"/>
      <c r="O40" s="133"/>
      <c r="P40" s="513">
        <f>SUM(P35:P39)</f>
        <v>0.3125</v>
      </c>
      <c r="Q40" s="499"/>
      <c r="R40" s="499"/>
      <c r="S40" s="499"/>
      <c r="T40" s="499"/>
      <c r="U40" s="387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284"/>
      <c r="B42" s="285"/>
      <c r="C42" s="285"/>
      <c r="D42" s="285"/>
      <c r="E42" s="285"/>
      <c r="F42" s="285"/>
      <c r="G42" s="285"/>
      <c r="H42" s="285"/>
      <c r="I42" s="285"/>
      <c r="J42" s="286"/>
      <c r="K42" s="286"/>
      <c r="L42" s="287"/>
      <c r="M42" s="67"/>
      <c r="N42" s="67"/>
      <c r="O42" s="67"/>
      <c r="X42" s="148"/>
      <c r="Y42" s="168">
        <f>SUM(Y7:Y11,Y14:Y18,Y21:Y25,Y28:Y32,Y35:Y39)</f>
        <v>3.1979166666666665</v>
      </c>
      <c r="Z42" s="169">
        <f>SUM(Z7:Z11,Z14:Z18,Z21:Z25,Z28:Z32,Z35:Z39)</f>
        <v>3.15625</v>
      </c>
      <c r="AA42" s="169">
        <f>SUM(AA7:AA11,AA14:AA18,AA21:AA25,AA28:AA32,AA35:AA39)</f>
        <v>0</v>
      </c>
      <c r="AB42" s="170">
        <f>SUM(AB7:AB11,AB14:AB18,AB21:AB25,AB28:AB32,AB35:AB39)</f>
        <v>6.3541666666666661</v>
      </c>
      <c r="AC42" s="109"/>
      <c r="AD42" s="154"/>
    </row>
    <row r="43" spans="1:30" ht="13.5" thickBot="1" x14ac:dyDescent="0.25">
      <c r="A43" s="288" t="s">
        <v>24</v>
      </c>
      <c r="B43" s="289"/>
      <c r="C43" s="289"/>
      <c r="D43" s="289"/>
      <c r="E43" s="289"/>
      <c r="F43" s="289"/>
      <c r="G43" s="289"/>
      <c r="H43" s="289"/>
      <c r="I43" s="289"/>
      <c r="J43" s="290"/>
      <c r="K43" s="290"/>
      <c r="L43" s="291">
        <f>SUM(L33,L26,L19,L12,L40)</f>
        <v>6.3541666666666661</v>
      </c>
      <c r="M43" s="185"/>
      <c r="N43" s="185"/>
      <c r="O43" s="185"/>
      <c r="P43" s="83">
        <f>SUM(P12,P19,P26,P33,P40)</f>
        <v>6.3541666666666661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0.50327868852459023</v>
      </c>
      <c r="Z44" s="155">
        <f>Z42/C47</f>
        <v>0.49672131147540988</v>
      </c>
      <c r="AA44" s="156">
        <f>AA42/C47</f>
        <v>0</v>
      </c>
      <c r="AB44" s="180">
        <f>SUM(Y44:AA44)</f>
        <v>1</v>
      </c>
    </row>
    <row r="45" spans="1:30" ht="18.75" thickBot="1" x14ac:dyDescent="0.25">
      <c r="A45" s="292"/>
      <c r="B45" s="293"/>
      <c r="C45" s="293"/>
      <c r="D45" s="293"/>
      <c r="E45" s="293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18" t="s">
        <v>25</v>
      </c>
      <c r="B46" s="719"/>
      <c r="C46" s="294">
        <f>J1*J2</f>
        <v>6.333333333333333</v>
      </c>
      <c r="D46" s="294"/>
      <c r="E46" s="294"/>
      <c r="F46" s="295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96"/>
      <c r="B47" s="297" t="s">
        <v>26</v>
      </c>
      <c r="C47" s="298">
        <f>L43</f>
        <v>6.3541666666666661</v>
      </c>
      <c r="D47" s="298"/>
      <c r="E47" s="298"/>
      <c r="F47" s="299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96"/>
      <c r="B48" s="297" t="s">
        <v>27</v>
      </c>
      <c r="C48" s="294" t="str">
        <f>IF(C46&gt;C47,C46-C47,"00:00:00")</f>
        <v>00:00:00</v>
      </c>
      <c r="D48" s="298"/>
      <c r="E48" s="298"/>
      <c r="F48" s="300"/>
      <c r="K48" s="35"/>
      <c r="P48" s="215"/>
      <c r="Q48" s="216"/>
      <c r="R48" s="216"/>
      <c r="S48" s="216"/>
      <c r="T48" s="264"/>
      <c r="U48" s="216"/>
    </row>
    <row r="49" spans="1:30" ht="13.5" thickBot="1" x14ac:dyDescent="0.25">
      <c r="A49" s="296"/>
      <c r="B49" s="297" t="s">
        <v>28</v>
      </c>
      <c r="C49" s="294">
        <f>IF(C47&gt;C46,C47-C46,"00:00:00")</f>
        <v>2.0833333333333037E-2</v>
      </c>
      <c r="D49" s="301"/>
      <c r="E49" s="302" t="s">
        <v>29</v>
      </c>
      <c r="F49" s="295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292"/>
      <c r="B50" s="293"/>
      <c r="C50" s="293"/>
      <c r="D50" s="293"/>
      <c r="E50" s="293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96"/>
      <c r="B51" s="297" t="s">
        <v>30</v>
      </c>
      <c r="C51" s="68">
        <v>0</v>
      </c>
      <c r="D51" s="294"/>
      <c r="E51" s="303" t="s">
        <v>31</v>
      </c>
      <c r="F51" s="304" t="str">
        <f>IF(C51&gt;C52,C51-C52,"00:00:00")</f>
        <v>00:00:00</v>
      </c>
    </row>
    <row r="52" spans="1:30" ht="13.5" thickBot="1" x14ac:dyDescent="0.25">
      <c r="A52" s="296"/>
      <c r="B52" s="297" t="s">
        <v>32</v>
      </c>
      <c r="C52" s="68">
        <v>0</v>
      </c>
      <c r="D52" s="294"/>
      <c r="E52" s="303" t="s">
        <v>33</v>
      </c>
      <c r="F52" s="304" t="str">
        <f>IF(C52&gt;C51,C52-C51,"00:00:00")</f>
        <v>00:00:00</v>
      </c>
    </row>
    <row r="53" spans="1:30" ht="13.5" thickBot="1" x14ac:dyDescent="0.25">
      <c r="A53" s="712" t="s">
        <v>34</v>
      </c>
      <c r="B53" s="713"/>
      <c r="C53" s="305">
        <f>Horas!H3-Noviembre!J1</f>
        <v>0</v>
      </c>
      <c r="D53" s="714" t="s">
        <v>35</v>
      </c>
      <c r="E53" s="714"/>
      <c r="F53" s="306">
        <v>0</v>
      </c>
      <c r="P53" s="66"/>
      <c r="Q53" s="2"/>
      <c r="R53" s="2"/>
    </row>
    <row r="54" spans="1:30" ht="13.5" thickBot="1" x14ac:dyDescent="0.25">
      <c r="A54" s="715" t="s">
        <v>36</v>
      </c>
      <c r="B54" s="716"/>
      <c r="C54" s="307">
        <v>0</v>
      </c>
      <c r="D54" s="717" t="s">
        <v>37</v>
      </c>
      <c r="E54" s="717"/>
      <c r="F54" s="308">
        <v>0</v>
      </c>
      <c r="P54" s="66"/>
      <c r="Q54" s="2"/>
      <c r="R54" s="2"/>
    </row>
    <row r="55" spans="1:30" ht="13.5" thickBot="1" x14ac:dyDescent="0.25">
      <c r="A55" s="292"/>
      <c r="B55" s="293"/>
      <c r="C55" s="293"/>
      <c r="D55" s="293"/>
      <c r="E55" s="293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A54:B54"/>
    <mergeCell ref="D54:E54"/>
    <mergeCell ref="A46:B46"/>
    <mergeCell ref="Q46:Q47"/>
    <mergeCell ref="R46:R47"/>
    <mergeCell ref="S46:S47"/>
    <mergeCell ref="T46:T47"/>
    <mergeCell ref="A53:B53"/>
    <mergeCell ref="D53:E53"/>
    <mergeCell ref="P19:T19"/>
    <mergeCell ref="X21:X25"/>
    <mergeCell ref="P26:T26"/>
    <mergeCell ref="X28:X32"/>
    <mergeCell ref="P33:T33"/>
    <mergeCell ref="X35:X39"/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1"/>
  <dimension ref="A1:AE59"/>
  <sheetViews>
    <sheetView workbookViewId="0">
      <selection activeCell="C9" sqref="C9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4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268" t="s">
        <v>0</v>
      </c>
      <c r="B1" s="683" t="s">
        <v>38</v>
      </c>
      <c r="C1" s="684"/>
      <c r="D1" s="685"/>
      <c r="E1" s="269" t="s">
        <v>1</v>
      </c>
      <c r="F1" s="270">
        <v>2.0833333333333329E-2</v>
      </c>
      <c r="I1" s="6" t="s">
        <v>2</v>
      </c>
      <c r="J1" s="271">
        <v>18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272" t="s">
        <v>3</v>
      </c>
      <c r="B2" s="690"/>
      <c r="C2" s="691"/>
      <c r="D2" s="692"/>
      <c r="E2" s="273" t="s">
        <v>4</v>
      </c>
      <c r="F2" s="274">
        <v>1.3888888888888888E-2</v>
      </c>
      <c r="I2" s="8" t="s">
        <v>5</v>
      </c>
      <c r="J2" s="275">
        <v>0.33333333333333331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276" t="s">
        <v>6</v>
      </c>
      <c r="B3" s="693">
        <v>46357</v>
      </c>
      <c r="C3" s="694"/>
      <c r="D3" s="695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07"/>
      <c r="M4" s="402"/>
      <c r="N4" s="735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277" t="s">
        <v>7</v>
      </c>
      <c r="B5" s="278" t="s">
        <v>8</v>
      </c>
      <c r="C5" s="278" t="s">
        <v>9</v>
      </c>
      <c r="D5" s="278" t="s">
        <v>10</v>
      </c>
      <c r="E5" s="278" t="s">
        <v>11</v>
      </c>
      <c r="F5" s="278" t="s">
        <v>12</v>
      </c>
      <c r="G5" s="278" t="s">
        <v>13</v>
      </c>
      <c r="H5" s="278" t="s">
        <v>14</v>
      </c>
      <c r="I5" s="278" t="s">
        <v>15</v>
      </c>
      <c r="J5" s="278" t="s">
        <v>16</v>
      </c>
      <c r="K5" s="278" t="s">
        <v>17</v>
      </c>
      <c r="L5" s="278" t="s">
        <v>18</v>
      </c>
      <c r="M5" s="554" t="s">
        <v>44</v>
      </c>
      <c r="N5" s="548" t="s">
        <v>12</v>
      </c>
      <c r="O5" s="118" t="s">
        <v>15</v>
      </c>
      <c r="T5" s="55">
        <f>C46</f>
        <v>6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222"/>
      <c r="B6" s="223"/>
      <c r="C6" s="223"/>
      <c r="D6" s="223"/>
      <c r="E6" s="223"/>
      <c r="F6" s="223"/>
      <c r="G6" s="223"/>
      <c r="H6" s="223"/>
      <c r="I6" s="223"/>
      <c r="J6" s="224"/>
      <c r="K6" s="224"/>
      <c r="L6" s="451"/>
      <c r="M6" s="395"/>
      <c r="N6" s="550"/>
      <c r="O6" s="123"/>
      <c r="P6" s="426"/>
      <c r="Q6" s="57">
        <v>1</v>
      </c>
      <c r="R6" s="57"/>
      <c r="S6" s="58"/>
      <c r="T6" s="540"/>
      <c r="U6" s="374"/>
      <c r="V6" s="171"/>
      <c r="W6" s="175"/>
      <c r="X6" s="176"/>
      <c r="Y6" s="177" t="s">
        <v>48</v>
      </c>
      <c r="Z6" s="261" t="s">
        <v>49</v>
      </c>
      <c r="AA6" s="261" t="s">
        <v>50</v>
      </c>
      <c r="AB6" s="262" t="s">
        <v>51</v>
      </c>
      <c r="AC6" s="104"/>
      <c r="AD6" s="186"/>
    </row>
    <row r="7" spans="1:31" ht="12.75" customHeight="1" thickBot="1" x14ac:dyDescent="0.25">
      <c r="A7" s="661"/>
      <c r="B7" s="662"/>
      <c r="C7" s="662"/>
      <c r="D7" s="662"/>
      <c r="E7" s="662"/>
      <c r="F7" s="662"/>
      <c r="G7" s="662"/>
      <c r="H7" s="662"/>
      <c r="I7" s="662"/>
      <c r="J7" s="668"/>
      <c r="K7" s="669"/>
      <c r="L7" s="663"/>
      <c r="M7" s="403"/>
      <c r="N7" s="318"/>
      <c r="O7" s="220"/>
      <c r="P7" s="428">
        <f>MROUND(L7,"0:15")</f>
        <v>0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1</v>
      </c>
      <c r="R7" s="71"/>
      <c r="S7" s="72"/>
      <c r="T7" s="421">
        <f>T5-L7</f>
        <v>6</v>
      </c>
      <c r="U7" s="555"/>
      <c r="V7" s="151">
        <v>0</v>
      </c>
      <c r="W7" s="556"/>
      <c r="X7" s="745"/>
      <c r="Y7" s="580" t="str">
        <f>IF(M7="O",P7 - AA7,"0:00:00")</f>
        <v>0:00:00</v>
      </c>
      <c r="Z7" s="557" t="str">
        <f>IF(M7="C",P7,"0:00:00")</f>
        <v>0:00:00</v>
      </c>
      <c r="AA7" s="557" t="str">
        <f>IF(P7="M",Q7-P7,"0:00:00")</f>
        <v>0:00:00</v>
      </c>
      <c r="AB7" s="558">
        <f>SUM(Y7:Z7)</f>
        <v>0</v>
      </c>
      <c r="AC7" s="139">
        <v>0</v>
      </c>
      <c r="AD7" s="188"/>
      <c r="AE7" s="256"/>
    </row>
    <row r="8" spans="1:31" ht="12.75" customHeight="1" thickBot="1" x14ac:dyDescent="0.25">
      <c r="A8" s="225">
        <v>46357</v>
      </c>
      <c r="B8" s="266">
        <v>0.33194444444444443</v>
      </c>
      <c r="C8" s="266">
        <v>0.54166666666666663</v>
      </c>
      <c r="D8" s="266">
        <v>0.5541666666666667</v>
      </c>
      <c r="E8" s="266">
        <v>0.65069444444444446</v>
      </c>
      <c r="F8" s="266">
        <v>0.66875000000000007</v>
      </c>
      <c r="G8" s="266"/>
      <c r="H8" s="266"/>
      <c r="I8" s="266">
        <v>0.73888888888888893</v>
      </c>
      <c r="J8" s="265">
        <f>IF((F8-E8)&lt;$F$1,$F$1,F8-E8)</f>
        <v>2.0833333333333329E-2</v>
      </c>
      <c r="K8" s="265">
        <f>IF((D8-C8)&lt;=$F$2,0,(D8-C8)-$F$2)</f>
        <v>0</v>
      </c>
      <c r="L8" s="319">
        <f>(I8-B8)-K8-(H8-G8)-J8</f>
        <v>0.38611111111111118</v>
      </c>
      <c r="M8" s="405" t="s">
        <v>53</v>
      </c>
      <c r="N8" s="315"/>
      <c r="O8" s="212"/>
      <c r="P8" s="428">
        <f>MROUND(L8,"0:15")</f>
        <v>0.38541666666666663</v>
      </c>
      <c r="Q8" s="95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2</v>
      </c>
      <c r="R8" s="95"/>
      <c r="S8" s="96"/>
      <c r="T8" s="422">
        <f>T7-L8</f>
        <v>5.6138888888888889</v>
      </c>
      <c r="U8" s="559"/>
      <c r="V8" s="560">
        <v>0</v>
      </c>
      <c r="W8" s="561"/>
      <c r="X8" s="746"/>
      <c r="Y8" s="580" t="str">
        <f>IF(M8="O",P8 - AA8,"0:00:00")</f>
        <v>0:00:00</v>
      </c>
      <c r="Z8" s="581">
        <f>IF(M8="C",P8,"0:00:00")</f>
        <v>0.38541666666666663</v>
      </c>
      <c r="AA8" s="562">
        <v>0</v>
      </c>
      <c r="AB8" s="563">
        <f>SUM(Y8:Z8)</f>
        <v>0.38541666666666663</v>
      </c>
      <c r="AC8" s="141">
        <v>0</v>
      </c>
      <c r="AD8" s="189"/>
    </row>
    <row r="9" spans="1:31" s="1" customFormat="1" ht="12.75" customHeight="1" thickBot="1" x14ac:dyDescent="0.25">
      <c r="A9" s="225">
        <v>46358</v>
      </c>
      <c r="B9" s="266">
        <v>0.30972222222222223</v>
      </c>
      <c r="C9" s="266">
        <v>0.49583333333333335</v>
      </c>
      <c r="D9" s="266">
        <v>0.50902777777777775</v>
      </c>
      <c r="E9" s="266"/>
      <c r="F9" s="266"/>
      <c r="G9" s="266"/>
      <c r="H9" s="266"/>
      <c r="I9" s="266">
        <v>0.62361111111111112</v>
      </c>
      <c r="J9" s="265">
        <v>0</v>
      </c>
      <c r="K9" s="265">
        <f>IF((D9-C9)&lt;=$F$2,0,(D9-C9)-$F$2)</f>
        <v>0</v>
      </c>
      <c r="L9" s="319">
        <f>(I9-B9)-K9-(H9-G9)-J9</f>
        <v>0.31388888888888888</v>
      </c>
      <c r="M9" s="405" t="s">
        <v>45</v>
      </c>
      <c r="N9" s="317"/>
      <c r="O9" s="120"/>
      <c r="P9" s="428">
        <f>MROUND(L9,"0:15")</f>
        <v>0.3125</v>
      </c>
      <c r="Q9" s="8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4</v>
      </c>
      <c r="R9" s="84"/>
      <c r="S9" s="85"/>
      <c r="T9" s="423">
        <f>T8-L9</f>
        <v>5.3</v>
      </c>
      <c r="U9" s="564"/>
      <c r="V9" s="565">
        <v>0</v>
      </c>
      <c r="W9" s="566"/>
      <c r="X9" s="746"/>
      <c r="Y9" s="567">
        <f>IF(M9="O",P9 - AA9,"0:00:00")</f>
        <v>0.3125</v>
      </c>
      <c r="Z9" s="567" t="str">
        <f>IF(M9="C",P9,"0:00:00")</f>
        <v>0:00:00</v>
      </c>
      <c r="AA9" s="577" t="str">
        <f>IF(P9="M",Q9-P9,"0:00:00")</f>
        <v>0:00:00</v>
      </c>
      <c r="AB9" s="568">
        <f>SUM(Y9:Z9)</f>
        <v>0.3125</v>
      </c>
      <c r="AC9" s="195">
        <v>0</v>
      </c>
      <c r="AD9" s="196" t="b">
        <f>V9=AC9</f>
        <v>1</v>
      </c>
    </row>
    <row r="10" spans="1:31" ht="12.75" customHeight="1" thickBot="1" x14ac:dyDescent="0.25">
      <c r="A10" s="225">
        <v>46359</v>
      </c>
      <c r="B10" s="266">
        <v>0.30902777777777779</v>
      </c>
      <c r="C10" s="266">
        <v>0.49027777777777781</v>
      </c>
      <c r="D10" s="266">
        <v>0.50416666666666665</v>
      </c>
      <c r="E10" s="266"/>
      <c r="F10" s="266"/>
      <c r="G10" s="266"/>
      <c r="H10" s="266"/>
      <c r="I10" s="266">
        <v>0.6381944444444444</v>
      </c>
      <c r="J10" s="265">
        <v>0</v>
      </c>
      <c r="K10" s="265">
        <f>IF((D10-C10)&lt;=$F$2,0,(D10-C10)-$F$2)</f>
        <v>0</v>
      </c>
      <c r="L10" s="319">
        <f>(I10-B10)-K10-(H10-G10)-J10</f>
        <v>0.32916666666666661</v>
      </c>
      <c r="M10" s="405" t="s">
        <v>45</v>
      </c>
      <c r="N10" s="315"/>
      <c r="O10" s="212"/>
      <c r="P10" s="428">
        <f>MROUND(L10,"0:15")</f>
        <v>0.33333333333333331</v>
      </c>
      <c r="Q10" s="8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-2</v>
      </c>
      <c r="R10" s="84"/>
      <c r="S10" s="85"/>
      <c r="T10" s="423">
        <f>T9-L10</f>
        <v>4.9708333333333332</v>
      </c>
      <c r="U10" s="564"/>
      <c r="V10" s="565">
        <v>0.45833333333333331</v>
      </c>
      <c r="W10" s="566"/>
      <c r="X10" s="746"/>
      <c r="Y10" s="562">
        <f>IF(M10="O",P10 - AA10,"0:00:00")</f>
        <v>0.33333333333333331</v>
      </c>
      <c r="Z10" s="562" t="str">
        <f>IF(M10="C",P10,"0:00:00")</f>
        <v>0:00:00</v>
      </c>
      <c r="AA10" s="578" t="str">
        <f>IF(P10="M",Q10-P10,"0:00:00")</f>
        <v>0:00:00</v>
      </c>
      <c r="AB10" s="563">
        <f>SUM(Y10:Z10)</f>
        <v>0.33333333333333331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225">
        <v>46360</v>
      </c>
      <c r="B11" s="266">
        <v>0.30069444444444443</v>
      </c>
      <c r="C11" s="266"/>
      <c r="D11" s="266"/>
      <c r="E11" s="266"/>
      <c r="F11" s="266"/>
      <c r="G11" s="266"/>
      <c r="H11" s="266"/>
      <c r="I11" s="266">
        <v>0.61944444444444446</v>
      </c>
      <c r="J11" s="609">
        <v>0</v>
      </c>
      <c r="K11" s="609">
        <f>IF((D11-C11)&lt;=$F$2,0,(D11-C11)-$F$2)</f>
        <v>0</v>
      </c>
      <c r="L11" s="610">
        <f>(I11-B11)-K11-(H11-G11)-J11</f>
        <v>0.31875000000000003</v>
      </c>
      <c r="M11" s="405" t="s">
        <v>53</v>
      </c>
      <c r="N11" s="322"/>
      <c r="O11" s="121"/>
      <c r="P11" s="428">
        <f>MROUND(L11,"0:15")</f>
        <v>0.32291666666666663</v>
      </c>
      <c r="Q11" s="197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7</v>
      </c>
      <c r="R11" s="197"/>
      <c r="S11" s="198"/>
      <c r="T11" s="445">
        <f>T10-L11</f>
        <v>4.6520833333333336</v>
      </c>
      <c r="U11" s="569"/>
      <c r="V11" s="565">
        <v>0.29166666666666669</v>
      </c>
      <c r="W11" s="566">
        <v>45261</v>
      </c>
      <c r="X11" s="747"/>
      <c r="Y11" s="581" t="str">
        <f>IF(M11="O",P11 - AA11,"0:00:00")</f>
        <v>0:00:00</v>
      </c>
      <c r="Z11" s="581">
        <f>IF(M11="C",P11,"0:00:00")</f>
        <v>0.32291666666666663</v>
      </c>
      <c r="AA11" s="579" t="str">
        <f>IF(P11="M",Q11-P11,"0:00:00")</f>
        <v>0:00:00</v>
      </c>
      <c r="AB11" s="570">
        <f>SUM(Y11:Z11)</f>
        <v>0.32291666666666663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1.3479166666666669</v>
      </c>
      <c r="M12" s="396"/>
      <c r="N12" s="550"/>
      <c r="O12" s="123"/>
      <c r="P12" s="703">
        <f>SUM(P7:P11)</f>
        <v>1.3541666666666665</v>
      </c>
      <c r="Q12" s="704"/>
      <c r="R12" s="704"/>
      <c r="S12" s="704"/>
      <c r="T12" s="705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415"/>
      <c r="N13" s="221"/>
      <c r="O13" s="125"/>
      <c r="P13" s="426"/>
      <c r="Q13" s="57">
        <f>Q11</f>
        <v>7</v>
      </c>
      <c r="R13" s="57"/>
      <c r="S13" s="58"/>
      <c r="T13" s="541"/>
      <c r="U13" s="374"/>
      <c r="V13" s="35"/>
      <c r="W13" s="69"/>
      <c r="X13" s="148"/>
      <c r="Y13" s="241"/>
      <c r="Z13" s="242"/>
      <c r="AA13" s="162"/>
      <c r="AB13" s="163"/>
      <c r="AC13" s="146"/>
      <c r="AD13" s="149"/>
    </row>
    <row r="14" spans="1:31" s="1" customFormat="1" ht="12" thickBot="1" x14ac:dyDescent="0.25">
      <c r="A14" s="314">
        <v>46363</v>
      </c>
      <c r="B14" s="312"/>
      <c r="C14" s="312"/>
      <c r="D14" s="312"/>
      <c r="E14" s="312"/>
      <c r="F14" s="312"/>
      <c r="G14" s="312"/>
      <c r="H14" s="312"/>
      <c r="I14" s="312"/>
      <c r="J14" s="313"/>
      <c r="K14" s="313"/>
      <c r="L14" s="507"/>
      <c r="M14" s="405"/>
      <c r="N14" s="315"/>
      <c r="O14" s="212"/>
      <c r="P14" s="428">
        <f>MROUND(L14,"0:15")</f>
        <v>0</v>
      </c>
      <c r="Q14" s="201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7</v>
      </c>
      <c r="R14" s="201"/>
      <c r="S14" s="202"/>
      <c r="T14" s="429">
        <f>T11-L14</f>
        <v>4.6520833333333336</v>
      </c>
      <c r="U14" s="571"/>
      <c r="V14" s="205">
        <v>0.30208333333333331</v>
      </c>
      <c r="W14" s="283">
        <v>45264</v>
      </c>
      <c r="X14" s="682"/>
      <c r="Y14" s="344" t="str">
        <f>IF(M14="O",P14 - AA14,"0:00:00")</f>
        <v>0:00:00</v>
      </c>
      <c r="Z14" s="344" t="str">
        <f>IF(M14="C",P14,"0:00:00")</f>
        <v>0:00:00</v>
      </c>
      <c r="AA14" s="534" t="str">
        <f>IF(P14="M",Q14-P14,"0:00:00")</f>
        <v>0:00:00</v>
      </c>
      <c r="AB14" s="535">
        <f>SUM(Y14:Z14)</f>
        <v>0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314">
        <v>46364</v>
      </c>
      <c r="B15" s="312"/>
      <c r="C15" s="312"/>
      <c r="D15" s="312"/>
      <c r="E15" s="312"/>
      <c r="F15" s="312"/>
      <c r="G15" s="312"/>
      <c r="H15" s="312"/>
      <c r="I15" s="312"/>
      <c r="J15" s="313"/>
      <c r="K15" s="313"/>
      <c r="L15" s="507"/>
      <c r="M15" s="405"/>
      <c r="N15" s="315"/>
      <c r="O15" s="212"/>
      <c r="P15" s="428">
        <f>MROUND(L15,"0:15")</f>
        <v>0</v>
      </c>
      <c r="Q15" s="8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7</v>
      </c>
      <c r="R15" s="84"/>
      <c r="S15" s="85"/>
      <c r="T15" s="423">
        <f>T14-L15</f>
        <v>4.6520833333333336</v>
      </c>
      <c r="U15" s="564"/>
      <c r="V15" s="206">
        <v>0.25</v>
      </c>
      <c r="W15" s="283">
        <v>45265</v>
      </c>
      <c r="X15" s="682"/>
      <c r="Y15" s="140" t="str">
        <f>IF(M15="O",P15 - AA15,"0:00:00")</f>
        <v>0:00:00</v>
      </c>
      <c r="Z15" s="140" t="str">
        <f>IF(M15="C",P15,"0:00:00")</f>
        <v>0:00:00</v>
      </c>
      <c r="AA15" s="140" t="str">
        <f>IF(P15="M",Q15-P15,"0:00:00")</f>
        <v>0:00:00</v>
      </c>
      <c r="AB15" s="140">
        <f>SUM(Y15:Z15)</f>
        <v>0</v>
      </c>
      <c r="AC15" s="141">
        <v>0.25</v>
      </c>
      <c r="AD15" s="189" t="b">
        <f>V15=AC15</f>
        <v>1</v>
      </c>
    </row>
    <row r="16" spans="1:31" s="1" customFormat="1" ht="12.75" customHeight="1" thickBot="1" x14ac:dyDescent="0.25">
      <c r="A16" s="605">
        <v>46365</v>
      </c>
      <c r="B16" s="266">
        <v>0.30972222222222223</v>
      </c>
      <c r="C16" s="266">
        <v>0.49583333333333335</v>
      </c>
      <c r="D16" s="266">
        <v>0.50902777777777775</v>
      </c>
      <c r="E16" s="266"/>
      <c r="F16" s="266"/>
      <c r="G16" s="266"/>
      <c r="H16" s="266"/>
      <c r="I16" s="266">
        <v>0.62361111111111112</v>
      </c>
      <c r="J16" s="265">
        <v>0</v>
      </c>
      <c r="K16" s="265">
        <f>IF((D16-C16)&lt;=$F$2,0,(D16-C16)-$F$2)</f>
        <v>0</v>
      </c>
      <c r="L16" s="319">
        <f>(I16-B16)-K16-(H16-G16)-J16</f>
        <v>0.31388888888888888</v>
      </c>
      <c r="M16" s="405" t="s">
        <v>45</v>
      </c>
      <c r="N16" s="315"/>
      <c r="O16" s="212"/>
      <c r="P16" s="428">
        <f>MROUND(L16,"0:15")</f>
        <v>0.3125</v>
      </c>
      <c r="Q16" s="95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-6</v>
      </c>
      <c r="R16" s="95"/>
      <c r="S16" s="96"/>
      <c r="T16" s="431">
        <f>T15-P16</f>
        <v>4.3395833333333336</v>
      </c>
      <c r="U16" s="559"/>
      <c r="V16" s="206">
        <v>0.23958333333333334</v>
      </c>
      <c r="W16" s="283">
        <v>45266</v>
      </c>
      <c r="X16" s="682"/>
      <c r="Y16" s="140">
        <f>IF(M16="O",P16 - AA16,"0:00:00")</f>
        <v>0.3125</v>
      </c>
      <c r="Z16" s="140" t="str">
        <f>IF(M16="C",P16,"0:00:00")</f>
        <v>0:00:00</v>
      </c>
      <c r="AA16" s="140" t="str">
        <f>IF(P16="M",Q16-P16,"0:00:00")</f>
        <v>0:00:00</v>
      </c>
      <c r="AB16" s="140">
        <f>SUM(Y16:Z16)</f>
        <v>0.3125</v>
      </c>
      <c r="AC16" s="141">
        <v>0.23958333333333334</v>
      </c>
      <c r="AD16" s="189" t="b">
        <f>V16=AC16</f>
        <v>1</v>
      </c>
    </row>
    <row r="17" spans="1:30" ht="12.75" customHeight="1" thickBot="1" x14ac:dyDescent="0.25">
      <c r="A17" s="605">
        <v>46366</v>
      </c>
      <c r="B17" s="266">
        <v>0.30902777777777779</v>
      </c>
      <c r="C17" s="266">
        <v>0.49027777777777781</v>
      </c>
      <c r="D17" s="266">
        <v>0.50416666666666665</v>
      </c>
      <c r="E17" s="266"/>
      <c r="F17" s="266"/>
      <c r="G17" s="266"/>
      <c r="H17" s="266"/>
      <c r="I17" s="266">
        <v>0.6381944444444444</v>
      </c>
      <c r="J17" s="265">
        <v>0</v>
      </c>
      <c r="K17" s="265">
        <f>IF((D17-C17)&lt;=$F$2,0,(D17-C17)-$F$2)</f>
        <v>0</v>
      </c>
      <c r="L17" s="319">
        <f>(I17-B17)-K17-(H17-G17)-J17</f>
        <v>0.32916666666666661</v>
      </c>
      <c r="M17" s="405" t="s">
        <v>45</v>
      </c>
      <c r="N17" s="316"/>
      <c r="O17" s="214"/>
      <c r="P17" s="428">
        <f>MROUND(L17,"0:15")</f>
        <v>0.33333333333333331</v>
      </c>
      <c r="Q17" s="8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3</v>
      </c>
      <c r="R17" s="84"/>
      <c r="S17" s="85"/>
      <c r="T17" s="432">
        <f>T16-P17</f>
        <v>4.0062500000000005</v>
      </c>
      <c r="U17" s="564"/>
      <c r="V17" s="206">
        <v>0</v>
      </c>
      <c r="W17" s="283">
        <v>45267</v>
      </c>
      <c r="X17" s="682"/>
      <c r="Y17" s="140">
        <f>IF(M17="O",P17 - AA17,"0:00:00")</f>
        <v>0.33333333333333331</v>
      </c>
      <c r="Z17" s="140" t="str">
        <f>IF(M17="C",P17,"0:00:00")</f>
        <v>0:00:00</v>
      </c>
      <c r="AA17" s="537" t="str">
        <f>IF(P17="M",Q17-P17,"0:00:00")</f>
        <v>0:00:00</v>
      </c>
      <c r="AB17" s="344">
        <f>SUM(Y17:Z17)</f>
        <v>0.33333333333333331</v>
      </c>
      <c r="AC17" s="195">
        <v>0</v>
      </c>
      <c r="AD17" s="196" t="b">
        <f>V17=AC17</f>
        <v>1</v>
      </c>
    </row>
    <row r="18" spans="1:30" ht="13.5" thickBot="1" x14ac:dyDescent="0.25">
      <c r="A18" s="605">
        <v>46367</v>
      </c>
      <c r="B18" s="266">
        <v>0.30069444444444443</v>
      </c>
      <c r="C18" s="266"/>
      <c r="D18" s="266"/>
      <c r="E18" s="266"/>
      <c r="F18" s="266"/>
      <c r="G18" s="266"/>
      <c r="H18" s="266"/>
      <c r="I18" s="266">
        <v>0.6166666666666667</v>
      </c>
      <c r="J18" s="265">
        <v>0</v>
      </c>
      <c r="K18" s="265">
        <f>IF((D18-C18)&lt;=$F$2,0,(D18-C18)-$F$2)</f>
        <v>0</v>
      </c>
      <c r="L18" s="319">
        <f>(I18-B18)-K18-(H18-G18)-J18</f>
        <v>0.31597222222222227</v>
      </c>
      <c r="M18" s="405" t="s">
        <v>53</v>
      </c>
      <c r="N18" s="315"/>
      <c r="O18" s="212"/>
      <c r="P18" s="428">
        <f>MROUND(L18,"0:15")</f>
        <v>0.3125</v>
      </c>
      <c r="Q18" s="199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-7</v>
      </c>
      <c r="R18" s="199"/>
      <c r="S18" s="200"/>
      <c r="T18" s="433">
        <f>T17-L18</f>
        <v>3.6902777777777782</v>
      </c>
      <c r="U18" s="576"/>
      <c r="V18" s="207">
        <v>0</v>
      </c>
      <c r="W18" s="283">
        <v>45268</v>
      </c>
      <c r="X18" s="682"/>
      <c r="Y18" s="152" t="str">
        <f>IF(M18="O",P18 - AA18,"0:00:00")</f>
        <v>0:00:00</v>
      </c>
      <c r="Z18" s="152">
        <f>IF(M18="C",P18,"0:00:00")</f>
        <v>0.3125</v>
      </c>
      <c r="AA18" s="505" t="str">
        <f>IF(P18="M",Q18-P18,"0:00:00")</f>
        <v>0:00:00</v>
      </c>
      <c r="AB18" s="159">
        <f>SUM(Y18:Z18)</f>
        <v>0.3125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0.95902777777777781</v>
      </c>
      <c r="M19" s="396"/>
      <c r="N19" s="550"/>
      <c r="O19" s="123"/>
      <c r="P19" s="706">
        <f>SUM(P14:P18)</f>
        <v>0.95833333333333326</v>
      </c>
      <c r="Q19" s="707"/>
      <c r="R19" s="707"/>
      <c r="S19" s="707"/>
      <c r="T19" s="708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415"/>
      <c r="N20" s="550"/>
      <c r="O20" s="123"/>
      <c r="P20" s="434"/>
      <c r="Q20" s="61">
        <f>Q18</f>
        <v>-7</v>
      </c>
      <c r="R20" s="61"/>
      <c r="S20" s="62"/>
      <c r="T20" s="542"/>
      <c r="U20" s="385"/>
      <c r="V20" s="35"/>
      <c r="W20" s="79"/>
      <c r="X20" s="148"/>
      <c r="Y20" s="241"/>
      <c r="Z20" s="242"/>
      <c r="AA20" s="162"/>
      <c r="AB20" s="163"/>
      <c r="AC20" s="146"/>
      <c r="AD20" s="149"/>
    </row>
    <row r="21" spans="1:30" ht="12.75" customHeight="1" thickBot="1" x14ac:dyDescent="0.25">
      <c r="A21" s="282">
        <v>46370</v>
      </c>
      <c r="B21" s="266">
        <v>0.30833333333333335</v>
      </c>
      <c r="C21" s="266">
        <v>0.5229166666666667</v>
      </c>
      <c r="D21" s="266">
        <v>0.53680555555555554</v>
      </c>
      <c r="E21" s="266"/>
      <c r="F21" s="266"/>
      <c r="G21" s="266"/>
      <c r="H21" s="266"/>
      <c r="I21" s="266">
        <v>0.62569444444444444</v>
      </c>
      <c r="J21" s="265">
        <v>0</v>
      </c>
      <c r="K21" s="265">
        <f>IF((D21-C21)&lt;=$F$2,0,(D21-C21)-$F$2)</f>
        <v>0</v>
      </c>
      <c r="L21" s="319">
        <f>(I21-B21)-K21-(H21-G21)-J21</f>
        <v>0.31736111111111109</v>
      </c>
      <c r="M21" s="405" t="s">
        <v>45</v>
      </c>
      <c r="N21" s="315"/>
      <c r="O21" s="212"/>
      <c r="P21" s="428">
        <f>MROUND(L21,"0:15")</f>
        <v>0.3125</v>
      </c>
      <c r="Q21" s="98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0</v>
      </c>
      <c r="R21" s="98"/>
      <c r="S21" s="99"/>
      <c r="T21" s="436">
        <f>T18-L21</f>
        <v>3.3729166666666672</v>
      </c>
      <c r="U21" s="100"/>
      <c r="V21" s="205">
        <v>0.36458333333333331</v>
      </c>
      <c r="W21" s="280">
        <v>45271</v>
      </c>
      <c r="X21" s="682"/>
      <c r="Y21" s="344">
        <f>IF(M21="O",P21 - AA21,"0:00:00")</f>
        <v>0.3125</v>
      </c>
      <c r="Z21" s="344" t="str">
        <f>IF(M21="C",P21,"0:00:00")</f>
        <v>0:00:00</v>
      </c>
      <c r="AA21" s="531" t="str">
        <f>IF(P21="M",Q21-P21,"0:00:00")</f>
        <v>0:00:00</v>
      </c>
      <c r="AB21" s="157">
        <f>SUM(Y21:Z21)</f>
        <v>0.3125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82">
        <v>46371</v>
      </c>
      <c r="B22" s="266">
        <v>0.30972222222222223</v>
      </c>
      <c r="C22" s="266">
        <v>0.54166666666666663</v>
      </c>
      <c r="D22" s="266">
        <v>0.5541666666666667</v>
      </c>
      <c r="E22" s="266">
        <v>0.65069444444444446</v>
      </c>
      <c r="F22" s="266">
        <v>0.66875000000000007</v>
      </c>
      <c r="G22" s="266"/>
      <c r="H22" s="266"/>
      <c r="I22" s="266">
        <v>0.73888888888888893</v>
      </c>
      <c r="J22" s="265">
        <f>IF((F22-E22)&lt;$F$1,$F$1,F22-E22)</f>
        <v>2.0833333333333329E-2</v>
      </c>
      <c r="K22" s="265">
        <f>IF((D22-C22)&lt;=$F$2,0,(D22-C22)-$F$2)</f>
        <v>0</v>
      </c>
      <c r="L22" s="319">
        <f>(I22-B22)-K22-(H22-G22)-J22</f>
        <v>0.40833333333333338</v>
      </c>
      <c r="M22" s="405" t="s">
        <v>53</v>
      </c>
      <c r="N22" s="315"/>
      <c r="O22" s="212"/>
      <c r="P22" s="428">
        <f>MROUND(L22,"0:15")</f>
        <v>0.40625</v>
      </c>
      <c r="Q22" s="95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3</v>
      </c>
      <c r="R22" s="95"/>
      <c r="S22" s="96"/>
      <c r="T22" s="422">
        <f>T21-L22</f>
        <v>2.964583333333334</v>
      </c>
      <c r="U22" s="97"/>
      <c r="V22" s="206">
        <v>0.36458333333333331</v>
      </c>
      <c r="W22" s="280">
        <v>45272</v>
      </c>
      <c r="X22" s="682"/>
      <c r="Y22" s="140" t="str">
        <f>IF(M22="O",P22 - AA22,"0:00:00")</f>
        <v>0:00:00</v>
      </c>
      <c r="Z22" s="140">
        <f>IF(M22="C",P22,"0:00:00")</f>
        <v>0.40625</v>
      </c>
      <c r="AA22" s="504" t="str">
        <f>IF(P22="M",Q22-P22,"0:00:00")</f>
        <v>0:00:00</v>
      </c>
      <c r="AB22" s="158">
        <f>SUM(Y22:Z22)</f>
        <v>0.40625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82">
        <v>46372</v>
      </c>
      <c r="B23" s="266">
        <v>0.30972222222222223</v>
      </c>
      <c r="C23" s="266">
        <v>0.49583333333333335</v>
      </c>
      <c r="D23" s="266">
        <v>0.50902777777777775</v>
      </c>
      <c r="E23" s="266"/>
      <c r="F23" s="266"/>
      <c r="G23" s="266"/>
      <c r="H23" s="266"/>
      <c r="I23" s="266">
        <v>0.62361111111111112</v>
      </c>
      <c r="J23" s="265">
        <v>0</v>
      </c>
      <c r="K23" s="265">
        <f>IF((D23-C23)&lt;=$F$2,0,(D23-C23)-$F$2)</f>
        <v>0</v>
      </c>
      <c r="L23" s="319">
        <f>(I23-B23)-K23-(H23-G23)-J23</f>
        <v>0.31388888888888888</v>
      </c>
      <c r="M23" s="405" t="s">
        <v>45</v>
      </c>
      <c r="N23" s="315"/>
      <c r="O23" s="212"/>
      <c r="P23" s="428">
        <f>MROUND(L23,"0:15")</f>
        <v>0.3125</v>
      </c>
      <c r="Q23" s="95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5</v>
      </c>
      <c r="R23" s="95"/>
      <c r="S23" s="96"/>
      <c r="T23" s="422">
        <f>T22-L23</f>
        <v>2.6506944444444454</v>
      </c>
      <c r="U23" s="97"/>
      <c r="V23" s="206">
        <v>0.45833333333333331</v>
      </c>
      <c r="W23" s="280">
        <v>45273</v>
      </c>
      <c r="X23" s="682"/>
      <c r="Y23" s="140">
        <f>IF(M23="O",P23 - AA23,"0:00:00")</f>
        <v>0.3125</v>
      </c>
      <c r="Z23" s="140" t="str">
        <f>IF(M23="C",P23,"0:00:00")</f>
        <v>0:00:00</v>
      </c>
      <c r="AA23" s="504" t="str">
        <f>IF(P23="M",Q23-P23,"0:00:00")</f>
        <v>0:00:00</v>
      </c>
      <c r="AB23" s="158">
        <f>SUM(Y23:Z23)</f>
        <v>0.3125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82">
        <v>46373</v>
      </c>
      <c r="B24" s="266">
        <v>0.30902777777777779</v>
      </c>
      <c r="C24" s="266">
        <v>0.49027777777777781</v>
      </c>
      <c r="D24" s="266">
        <v>0.50416666666666665</v>
      </c>
      <c r="E24" s="266"/>
      <c r="F24" s="266"/>
      <c r="G24" s="266"/>
      <c r="H24" s="266"/>
      <c r="I24" s="266">
        <v>0.6381944444444444</v>
      </c>
      <c r="J24" s="265">
        <v>0</v>
      </c>
      <c r="K24" s="265">
        <f>IF((D24-C24)&lt;=$F$2,0,(D24-C24)-$F$2)</f>
        <v>0</v>
      </c>
      <c r="L24" s="319">
        <f>(I24-B24)-K24-(H24-G24)-J24</f>
        <v>0.32916666666666661</v>
      </c>
      <c r="M24" s="405" t="s">
        <v>53</v>
      </c>
      <c r="N24" s="315"/>
      <c r="O24" s="212"/>
      <c r="P24" s="428">
        <f>MROUND(L24,"0:15")</f>
        <v>0.33333333333333331</v>
      </c>
      <c r="Q24" s="249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-1</v>
      </c>
      <c r="R24" s="249"/>
      <c r="S24" s="250"/>
      <c r="T24" s="437">
        <f>T23-L24</f>
        <v>2.3215277777777787</v>
      </c>
      <c r="U24" s="559"/>
      <c r="V24" s="182">
        <v>0.32291666666666669</v>
      </c>
      <c r="W24" s="280">
        <v>45274</v>
      </c>
      <c r="X24" s="682"/>
      <c r="Y24" s="140" t="str">
        <f>IF(M24="O",P24 - AA24,"0:00:00")</f>
        <v>0:00:00</v>
      </c>
      <c r="Z24" s="140">
        <f>IF(M24="C",P24,"0:00:00")</f>
        <v>0.33333333333333331</v>
      </c>
      <c r="AA24" s="504" t="str">
        <f>IF(P24="M",Q24-P24,"0:00:00")</f>
        <v>0:00:00</v>
      </c>
      <c r="AB24" s="158">
        <f>SUM(Y24:Z24)</f>
        <v>0.33333333333333331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282">
        <v>46374</v>
      </c>
      <c r="B25" s="266">
        <v>0.30069444444444443</v>
      </c>
      <c r="C25" s="266"/>
      <c r="D25" s="266"/>
      <c r="E25" s="266"/>
      <c r="F25" s="266"/>
      <c r="G25" s="266"/>
      <c r="H25" s="266"/>
      <c r="I25" s="266">
        <v>0.61944444444444446</v>
      </c>
      <c r="J25" s="265">
        <v>0</v>
      </c>
      <c r="K25" s="265">
        <f>IF((D25-C25)&lt;=$F$2,0,(D25-C25)-$F$2)</f>
        <v>0</v>
      </c>
      <c r="L25" s="319">
        <f>(I25-B25)-K25-(H25-G25)-J25</f>
        <v>0.31875000000000003</v>
      </c>
      <c r="M25" s="405" t="s">
        <v>53</v>
      </c>
      <c r="N25" s="315"/>
      <c r="O25" s="212"/>
      <c r="P25" s="428">
        <f>MROUND(L25,"0:15")</f>
        <v>0.32291666666666663</v>
      </c>
      <c r="Q25" s="251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-7</v>
      </c>
      <c r="R25" s="251"/>
      <c r="S25" s="252"/>
      <c r="T25" s="438">
        <f>T24-L25</f>
        <v>2.0027777777777787</v>
      </c>
      <c r="U25" s="575"/>
      <c r="V25" s="182">
        <v>0.36458333333333331</v>
      </c>
      <c r="W25" s="280">
        <v>45275</v>
      </c>
      <c r="X25" s="682"/>
      <c r="Y25" s="364" t="str">
        <f>IF(M25="O",P25 - AA25,"0:00:00")</f>
        <v>0:00:00</v>
      </c>
      <c r="Z25" s="365">
        <f>IF(M25="C",P25,"0:00:00")</f>
        <v>0.32291666666666663</v>
      </c>
      <c r="AA25" s="143" t="str">
        <f>IF(P25="M",Q25-P25,"0:00:00")</f>
        <v>0:00:00</v>
      </c>
      <c r="AB25" s="159">
        <f>SUM(Y25:Z25)</f>
        <v>0.32291666666666663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1.6875</v>
      </c>
      <c r="M26" s="396"/>
      <c r="N26" s="551"/>
      <c r="O26" s="129"/>
      <c r="P26" s="706">
        <f>SUM(P21:P25)</f>
        <v>1.6875</v>
      </c>
      <c r="Q26" s="707"/>
      <c r="R26" s="707"/>
      <c r="S26" s="707"/>
      <c r="T26" s="708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399"/>
      <c r="N27" s="552"/>
      <c r="O27" s="131"/>
      <c r="P27" s="426"/>
      <c r="Q27" s="57">
        <f>Q25</f>
        <v>-7</v>
      </c>
      <c r="R27" s="57"/>
      <c r="S27" s="58"/>
      <c r="T27" s="541"/>
      <c r="U27" s="374"/>
      <c r="V27" s="35"/>
      <c r="W27" s="81"/>
      <c r="X27" s="148"/>
      <c r="Y27" s="241"/>
      <c r="Z27" s="242"/>
      <c r="AA27" s="162"/>
      <c r="AB27" s="163"/>
      <c r="AC27" s="146"/>
      <c r="AD27" s="149"/>
    </row>
    <row r="28" spans="1:30" ht="12" customHeight="1" thickBot="1" x14ac:dyDescent="0.25">
      <c r="A28" s="605">
        <v>46377</v>
      </c>
      <c r="B28" s="266">
        <v>0.30972222222222223</v>
      </c>
      <c r="C28" s="266">
        <v>0.48402777777777778</v>
      </c>
      <c r="D28" s="266">
        <v>0.49722222222222223</v>
      </c>
      <c r="E28" s="266"/>
      <c r="F28" s="266"/>
      <c r="G28" s="266"/>
      <c r="H28" s="266"/>
      <c r="I28" s="266">
        <v>0.63194444444444442</v>
      </c>
      <c r="J28" s="609">
        <v>0</v>
      </c>
      <c r="K28" s="609">
        <f>IF((D28-C28)&lt;=$F$2,0,(D28-C28)-$F$2)</f>
        <v>0</v>
      </c>
      <c r="L28" s="610">
        <f>(I28-B28)-K28-(H28-G28)-J28</f>
        <v>0.32222222222222219</v>
      </c>
      <c r="M28" s="400" t="s">
        <v>45</v>
      </c>
      <c r="N28" s="315"/>
      <c r="O28" s="212"/>
      <c r="P28" s="428">
        <f>MROUND(L28,"0:15")</f>
        <v>0.32291666666666663</v>
      </c>
      <c r="Q28" s="98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7</v>
      </c>
      <c r="R28" s="98"/>
      <c r="S28" s="99"/>
      <c r="T28" s="436">
        <f>T25-L28</f>
        <v>1.6805555555555565</v>
      </c>
      <c r="U28" s="100"/>
      <c r="V28" s="205">
        <v>0.30208333333333331</v>
      </c>
      <c r="W28" s="280">
        <v>45278</v>
      </c>
      <c r="X28" s="682"/>
      <c r="Y28" s="344">
        <f>IF(M28="O",P28 - AA28,"0:00:00")</f>
        <v>0.32291666666666663</v>
      </c>
      <c r="Z28" s="344" t="str">
        <f>IF(M28="C",P28,"0:00:00")</f>
        <v>0:00:00</v>
      </c>
      <c r="AA28" s="531" t="str">
        <f>IF(P28="M",Q28-P28,"0:00:00")</f>
        <v>0:00:00</v>
      </c>
      <c r="AB28" s="157">
        <f>SUM(Y28:Z28)</f>
        <v>0.32291666666666663</v>
      </c>
      <c r="AC28" s="106">
        <v>0.30208333333333331</v>
      </c>
      <c r="AD28" s="208" t="b">
        <f>V28=AC28</f>
        <v>1</v>
      </c>
    </row>
    <row r="29" spans="1:30" ht="12" customHeight="1" thickBot="1" x14ac:dyDescent="0.25">
      <c r="A29" s="605">
        <v>46378</v>
      </c>
      <c r="B29" s="266">
        <v>0.32013888888888892</v>
      </c>
      <c r="C29" s="266">
        <v>0.47916666666666669</v>
      </c>
      <c r="D29" s="266">
        <v>0.4916666666666667</v>
      </c>
      <c r="E29" s="266"/>
      <c r="F29" s="266"/>
      <c r="G29" s="266"/>
      <c r="H29" s="266"/>
      <c r="I29" s="266">
        <v>0.71875</v>
      </c>
      <c r="J29" s="609">
        <f>IF((F29-E29)&lt;$F$1,$F$1,F29-E29)</f>
        <v>2.0833333333333329E-2</v>
      </c>
      <c r="K29" s="609">
        <f>IF((D29-C29)&lt;=$F$2,0,(D29-C29)-$F$2)</f>
        <v>0</v>
      </c>
      <c r="L29" s="610">
        <f t="shared" ref="L29:L30" si="0">(I29-B29)-K29-(H29-G29)-J29</f>
        <v>0.37777777777777777</v>
      </c>
      <c r="M29" s="405" t="s">
        <v>53</v>
      </c>
      <c r="N29" s="315"/>
      <c r="O29" s="212"/>
      <c r="P29" s="428">
        <f>MROUND(L29,"0:15")</f>
        <v>0.375</v>
      </c>
      <c r="Q29" s="95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-4</v>
      </c>
      <c r="R29" s="95"/>
      <c r="S29" s="96"/>
      <c r="T29" s="422">
        <f>T28-L29</f>
        <v>1.3027777777777787</v>
      </c>
      <c r="U29" s="97"/>
      <c r="V29" s="206">
        <v>0</v>
      </c>
      <c r="W29" s="280">
        <v>45279</v>
      </c>
      <c r="X29" s="682"/>
      <c r="Y29" s="140" t="str">
        <f>IF(M29="O",P29 - AA29,"0:00:00")</f>
        <v>0:00:00</v>
      </c>
      <c r="Z29" s="140">
        <f>IF(M29="C",P29,"0:00:00")</f>
        <v>0.375</v>
      </c>
      <c r="AA29" s="504" t="str">
        <f>IF(P29="M",Q29-P29,"0:00:00")</f>
        <v>0:00:00</v>
      </c>
      <c r="AB29" s="158">
        <f>SUM(Y29:Z29)</f>
        <v>0.375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605">
        <v>46379</v>
      </c>
      <c r="B30" s="266">
        <v>0.30972222222222223</v>
      </c>
      <c r="C30" s="266">
        <v>0.47500000000000003</v>
      </c>
      <c r="D30" s="266">
        <v>0.48749999999999999</v>
      </c>
      <c r="E30" s="266"/>
      <c r="F30" s="266"/>
      <c r="G30" s="266"/>
      <c r="H30" s="266"/>
      <c r="I30" s="266">
        <v>0.62152777777777779</v>
      </c>
      <c r="J30" s="609">
        <v>0</v>
      </c>
      <c r="K30" s="609">
        <f>IF((D30-C30)&lt;=$F$2,0,(D30-C30)-$F$2)</f>
        <v>0</v>
      </c>
      <c r="L30" s="610">
        <f t="shared" si="0"/>
        <v>0.31180555555555556</v>
      </c>
      <c r="M30" s="405" t="s">
        <v>45</v>
      </c>
      <c r="N30" s="315"/>
      <c r="O30" s="212"/>
      <c r="P30" s="428">
        <f>MROUND(L30,"0:15")</f>
        <v>0.3125</v>
      </c>
      <c r="Q30" s="95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-5</v>
      </c>
      <c r="R30" s="95"/>
      <c r="S30" s="96"/>
      <c r="T30" s="422">
        <f>T29-L30</f>
        <v>0.99097222222222314</v>
      </c>
      <c r="U30" s="97"/>
      <c r="V30" s="206">
        <v>0.35416666666666669</v>
      </c>
      <c r="W30" s="280">
        <v>45280</v>
      </c>
      <c r="X30" s="682"/>
      <c r="Y30" s="140">
        <f>IF(M30="O",P30 - AA30,"0:00:00")</f>
        <v>0.3125</v>
      </c>
      <c r="Z30" s="140" t="str">
        <f>IF(M30="C",P30,"0:00:00")</f>
        <v>0:00:00</v>
      </c>
      <c r="AA30" s="504" t="str">
        <f>IF(P30="M",Q30-P30,"0:00:00")</f>
        <v>0:00:00</v>
      </c>
      <c r="AB30" s="158">
        <f>SUM(Y30:Z30)</f>
        <v>0.3125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311">
        <v>46380</v>
      </c>
      <c r="B31" s="312"/>
      <c r="C31" s="312"/>
      <c r="D31" s="312"/>
      <c r="E31" s="312"/>
      <c r="F31" s="312"/>
      <c r="G31" s="312"/>
      <c r="H31" s="312"/>
      <c r="I31" s="312"/>
      <c r="J31" s="313"/>
      <c r="K31" s="313"/>
      <c r="L31" s="507"/>
      <c r="M31" s="405"/>
      <c r="N31" s="315"/>
      <c r="O31" s="212"/>
      <c r="P31" s="428">
        <f>MROUND(L31,"0:15")</f>
        <v>0</v>
      </c>
      <c r="Q31" s="95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-5</v>
      </c>
      <c r="R31" s="95"/>
      <c r="S31" s="96"/>
      <c r="T31" s="422">
        <f>T30-L31</f>
        <v>0.99097222222222314</v>
      </c>
      <c r="U31" s="97"/>
      <c r="V31" s="206">
        <v>0.41666666666666669</v>
      </c>
      <c r="W31" s="280">
        <v>45281</v>
      </c>
      <c r="X31" s="682"/>
      <c r="Y31" s="140" t="str">
        <f>IF(M31="O",P31 - AA31,"0:00:00")</f>
        <v>0:00:00</v>
      </c>
      <c r="Z31" s="140" t="str">
        <f>IF(M31="C",P31,"0:00:00")</f>
        <v>0:00:00</v>
      </c>
      <c r="AA31" s="504" t="str">
        <f>IF(P31="M",Q31-P31,"0:00:00")</f>
        <v>0:00:00</v>
      </c>
      <c r="AB31" s="158">
        <f>SUM(Y31:Z31)</f>
        <v>0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311">
        <v>46381</v>
      </c>
      <c r="B32" s="312"/>
      <c r="C32" s="312"/>
      <c r="D32" s="312"/>
      <c r="E32" s="312"/>
      <c r="F32" s="312"/>
      <c r="G32" s="312"/>
      <c r="H32" s="312"/>
      <c r="I32" s="312"/>
      <c r="J32" s="313"/>
      <c r="K32" s="313"/>
      <c r="L32" s="507"/>
      <c r="M32" s="405"/>
      <c r="N32" s="315"/>
      <c r="O32" s="212"/>
      <c r="P32" s="428">
        <f>MROUND(L32,"0:15")</f>
        <v>0</v>
      </c>
      <c r="Q32" s="95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-5</v>
      </c>
      <c r="R32" s="95"/>
      <c r="S32" s="96"/>
      <c r="T32" s="422">
        <f>T31-L32</f>
        <v>0.99097222222222314</v>
      </c>
      <c r="U32" s="111"/>
      <c r="V32" s="78">
        <v>0.35416666666666669</v>
      </c>
      <c r="W32" s="280">
        <v>45282</v>
      </c>
      <c r="X32" s="682"/>
      <c r="Y32" s="364" t="str">
        <f>IF(M32="O",P32 - AA32,"0:00:00")</f>
        <v>0:00:00</v>
      </c>
      <c r="Z32" s="365" t="str">
        <f>IF(M32="C",P32,"0:00:00")</f>
        <v>0:00:00</v>
      </c>
      <c r="AA32" s="143" t="str">
        <f>IF(P32="M",Q32-P32,"0:00:00")</f>
        <v>0:00:00</v>
      </c>
      <c r="AB32" s="159">
        <f>SUM(Y32:Z32)</f>
        <v>0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1.0118055555555556</v>
      </c>
      <c r="M33" s="396"/>
      <c r="N33" s="551"/>
      <c r="O33" s="129"/>
      <c r="P33" s="706">
        <f>SUM(P28:P32)</f>
        <v>1.0104166666666665</v>
      </c>
      <c r="Q33" s="707"/>
      <c r="R33" s="707"/>
      <c r="S33" s="707"/>
      <c r="T33" s="708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582"/>
      <c r="N34" s="552"/>
      <c r="O34" s="131"/>
      <c r="P34" s="426"/>
      <c r="Q34" s="57">
        <f>Q32</f>
        <v>-5</v>
      </c>
      <c r="R34" s="57"/>
      <c r="S34" s="58"/>
      <c r="T34" s="541"/>
      <c r="U34" s="374"/>
      <c r="V34" s="35"/>
      <c r="W34" s="82"/>
      <c r="X34" s="148"/>
      <c r="Y34" s="241"/>
      <c r="Z34" s="242"/>
      <c r="AA34" s="162"/>
      <c r="AB34" s="163"/>
      <c r="AC34" s="146"/>
      <c r="AD34" s="149"/>
    </row>
    <row r="35" spans="1:30" ht="12.75" customHeight="1" thickBot="1" x14ac:dyDescent="0.25">
      <c r="A35" s="605">
        <v>46384</v>
      </c>
      <c r="B35" s="266">
        <v>0.30972222222222223</v>
      </c>
      <c r="C35" s="266">
        <v>0.48402777777777778</v>
      </c>
      <c r="D35" s="266">
        <v>0.49722222222222223</v>
      </c>
      <c r="E35" s="266"/>
      <c r="F35" s="266"/>
      <c r="G35" s="266"/>
      <c r="H35" s="266"/>
      <c r="I35" s="266">
        <v>0.63472222222222219</v>
      </c>
      <c r="J35" s="609">
        <v>0</v>
      </c>
      <c r="K35" s="609">
        <f>IF((D35-C35)&lt;=$F$2,0,(D35-C35)-$F$2)</f>
        <v>0</v>
      </c>
      <c r="L35" s="610">
        <f>(I35-B35)-K35-(H35-G35)-J35</f>
        <v>0.32499999999999996</v>
      </c>
      <c r="M35" s="405" t="s">
        <v>45</v>
      </c>
      <c r="N35" s="315"/>
      <c r="O35" s="212"/>
      <c r="P35" s="428">
        <f>MROUND(L35,"0:15")</f>
        <v>0.32291666666666663</v>
      </c>
      <c r="Q35" s="98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-2</v>
      </c>
      <c r="R35" s="98"/>
      <c r="S35" s="99"/>
      <c r="T35" s="436">
        <f>T32-L35</f>
        <v>0.66597222222222319</v>
      </c>
      <c r="U35" s="100"/>
      <c r="V35" s="151">
        <v>0.33333333333333331</v>
      </c>
      <c r="W35" s="280">
        <v>45285</v>
      </c>
      <c r="X35" s="682"/>
      <c r="Y35" s="344">
        <f>IF(M35="O",P35 - AA35,"0:00:00")</f>
        <v>0.32291666666666663</v>
      </c>
      <c r="Z35" s="344" t="str">
        <f t="shared" ref="Z35:Z39" si="1">IF(M35="C",P35,"0:00:00")</f>
        <v>0:00:00</v>
      </c>
      <c r="AA35" s="531" t="str">
        <f>IF(P35="M",Q35-P35,"0:00:00")</f>
        <v>0:00:00</v>
      </c>
      <c r="AB35" s="157">
        <f>SUM(Y35:Z35)</f>
        <v>0.32291666666666663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605">
        <v>46385</v>
      </c>
      <c r="B36" s="266">
        <v>0.32013888888888892</v>
      </c>
      <c r="C36" s="266">
        <v>0.47916666666666669</v>
      </c>
      <c r="D36" s="266">
        <v>0.4916666666666667</v>
      </c>
      <c r="E36" s="266"/>
      <c r="F36" s="266"/>
      <c r="G36" s="266"/>
      <c r="H36" s="266"/>
      <c r="I36" s="266">
        <v>0.71875</v>
      </c>
      <c r="J36" s="609">
        <f>IF((F36-E36)&lt;$F$1,$F$1,F36-E36)</f>
        <v>2.0833333333333329E-2</v>
      </c>
      <c r="K36" s="609">
        <f>IF((D36-C36)&lt;=$F$2,0,(D36-C36)-$F$2)</f>
        <v>0</v>
      </c>
      <c r="L36" s="610">
        <f t="shared" ref="L36" si="2">(I36-B36)-K36-(H36-G36)-J36</f>
        <v>0.37777777777777777</v>
      </c>
      <c r="M36" s="405" t="s">
        <v>53</v>
      </c>
      <c r="N36" s="315"/>
      <c r="O36" s="212"/>
      <c r="P36" s="428">
        <f t="shared" ref="P36:P37" si="3">MROUND(L36,"0:15")</f>
        <v>0.375</v>
      </c>
      <c r="Q36" s="95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2</v>
      </c>
      <c r="R36" s="95"/>
      <c r="S36" s="96"/>
      <c r="T36" s="422">
        <f>T35-L36</f>
        <v>0.28819444444444542</v>
      </c>
      <c r="U36" s="97"/>
      <c r="V36" s="77">
        <v>0.45833333333333331</v>
      </c>
      <c r="W36" s="280">
        <v>45286</v>
      </c>
      <c r="X36" s="682"/>
      <c r="Y36" s="140" t="str">
        <f>IF(M36="O",P36 - AA36,"0:00:00")</f>
        <v>0:00:00</v>
      </c>
      <c r="Z36" s="140">
        <f t="shared" si="1"/>
        <v>0.375</v>
      </c>
      <c r="AA36" s="504" t="str">
        <f>IF(P36="M",Q36-P36,"0:00:00")</f>
        <v>0:00:00</v>
      </c>
      <c r="AB36" s="158">
        <f>SUM(Y36:Z36)</f>
        <v>0.375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605">
        <v>46386</v>
      </c>
      <c r="B37" s="266">
        <v>0.30972222222222223</v>
      </c>
      <c r="C37" s="266">
        <v>0.47500000000000003</v>
      </c>
      <c r="D37" s="266">
        <v>0.48749999999999999</v>
      </c>
      <c r="E37" s="266"/>
      <c r="F37" s="266"/>
      <c r="G37" s="266"/>
      <c r="H37" s="266"/>
      <c r="I37" s="266">
        <v>0.62152777777777779</v>
      </c>
      <c r="J37" s="664">
        <v>0</v>
      </c>
      <c r="K37" s="664">
        <f>IF((D37-C37)&lt;=$F$2,0,(D37-C37)-$F$2)</f>
        <v>0</v>
      </c>
      <c r="L37" s="665">
        <f t="shared" ref="L37" si="4">(I37-B37)-K37-(H37-G37)-J37</f>
        <v>0.31180555555555556</v>
      </c>
      <c r="M37" s="585" t="s">
        <v>45</v>
      </c>
      <c r="N37" s="315"/>
      <c r="O37" s="212"/>
      <c r="P37" s="428">
        <f t="shared" si="3"/>
        <v>0.3125</v>
      </c>
      <c r="Q37" s="95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1</v>
      </c>
      <c r="R37" s="95"/>
      <c r="S37" s="96"/>
      <c r="T37" s="422">
        <f>T36-L37</f>
        <v>-2.3611111111110139E-2</v>
      </c>
      <c r="U37" s="97"/>
      <c r="V37" s="77">
        <v>0.33333333333333331</v>
      </c>
      <c r="W37" s="280">
        <v>45287</v>
      </c>
      <c r="X37" s="682"/>
      <c r="Y37" s="140">
        <f>IF(M37="O",P37 - AA37,"0:00:00")</f>
        <v>0.3125</v>
      </c>
      <c r="Z37" s="140" t="str">
        <f t="shared" si="1"/>
        <v>0:00:00</v>
      </c>
      <c r="AA37" s="504" t="str">
        <f>IF(P37="M",Q37-P37,"0:00:00")</f>
        <v>0:00:00</v>
      </c>
      <c r="AB37" s="158">
        <f>SUM(Y37:Z37)</f>
        <v>0.3125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311">
        <v>46387</v>
      </c>
      <c r="B38" s="312"/>
      <c r="C38" s="312"/>
      <c r="D38" s="312"/>
      <c r="E38" s="312"/>
      <c r="F38" s="312"/>
      <c r="G38" s="312"/>
      <c r="H38" s="312"/>
      <c r="I38" s="312"/>
      <c r="J38" s="312"/>
      <c r="K38" s="312"/>
      <c r="L38" s="674"/>
      <c r="M38" s="585"/>
      <c r="N38" s="315"/>
      <c r="O38" s="212"/>
      <c r="P38" s="428">
        <f>TIME(MID(TEXT(L38,"hh:mm:ss"),1,2), IF(ABS((MID(TEXT(L38,"hh:mm:ss"),4,2)+Q37)-FLOOR((MID(TEXT(L38,"hh:mm:ss"),4,2)+Q37),15))&gt;=ABS((MID(TEXT(L38,"hh:mm:ss"),4,2)+Q37)-CEILING((MID(TEXT(L38,"hh:mm:ss"),4,2)+Q37),15)),CEILING((MID(TEXT(L38,"hh:mm:ss"),4,2)+Q37),15),FLOOR((MID(TEXT(L38,"hh:mm:ss"),4,2)+Q37),15)), MID(TEXT(L38,"hh:mm:ss"),7,2))</f>
        <v>0</v>
      </c>
      <c r="Q38" s="101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1</v>
      </c>
      <c r="R38" s="101"/>
      <c r="S38" s="102"/>
      <c r="T38" s="442">
        <f>T37-L38</f>
        <v>-2.3611111111110139E-2</v>
      </c>
      <c r="U38" s="97"/>
      <c r="V38" s="77">
        <v>0.45833333333333331</v>
      </c>
      <c r="W38" s="280">
        <v>45288</v>
      </c>
      <c r="X38" s="682"/>
      <c r="Y38" s="140" t="str">
        <f>IF(M38="O",P38 - AA38,"0:00:00")</f>
        <v>0:00:00</v>
      </c>
      <c r="Z38" s="140" t="str">
        <f t="shared" si="1"/>
        <v>0:00:00</v>
      </c>
      <c r="AA38" s="504" t="str">
        <f>IF(P38="M",Q38-P38,"0:00:00")</f>
        <v>0:00:00</v>
      </c>
      <c r="AB38" s="158">
        <f>SUM(Y38:Z38)</f>
        <v>0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661"/>
      <c r="B39" s="662"/>
      <c r="C39" s="662"/>
      <c r="D39" s="662"/>
      <c r="E39" s="662"/>
      <c r="F39" s="662"/>
      <c r="G39" s="662"/>
      <c r="H39" s="662"/>
      <c r="I39" s="662"/>
      <c r="J39" s="662"/>
      <c r="K39" s="662"/>
      <c r="L39" s="673"/>
      <c r="M39" s="586"/>
      <c r="N39" s="317"/>
      <c r="O39" s="120"/>
      <c r="P39" s="428">
        <f>TIME(MID(TEXT(L39,"hh:mm:ss"),1,2), IF(ABS((MID(TEXT(L39,"hh:mm:ss"),4,2)+Q38)-FLOOR((MID(TEXT(L39,"hh:mm:ss"),4,2)+Q38),15))&gt;=ABS((MID(TEXT(L39,"hh:mm:ss"),4,2)+Q38)-CEILING((MID(TEXT(L39,"hh:mm:ss"),4,2)+Q38),15)),CEILING((MID(TEXT(L39,"hh:mm:ss"),4,2)+Q38),15),FLOOR((MID(TEXT(L39,"hh:mm:ss"),4,2)+Q38),15)), MID(TEXT(L39,"hh:mm:ss"),7,2))</f>
        <v>0</v>
      </c>
      <c r="Q39" s="92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92"/>
      <c r="S39" s="93"/>
      <c r="T39" s="443">
        <f>T38-L39</f>
        <v>-2.3611111111110139E-2</v>
      </c>
      <c r="U39" s="94"/>
      <c r="V39" s="78"/>
      <c r="W39" s="280">
        <v>45289</v>
      </c>
      <c r="X39" s="709"/>
      <c r="Y39" s="501" t="str">
        <f>IF(M39="O",P39 - AA39,"0:00:00")</f>
        <v>0:00:00</v>
      </c>
      <c r="Z39" s="152" t="str">
        <f t="shared" si="1"/>
        <v>0:00:00</v>
      </c>
      <c r="AA39" s="379" t="str">
        <f>IF(P39="M",Q39-P39,"0:00:00")</f>
        <v>0:00:00</v>
      </c>
      <c r="AB39" s="164">
        <f>SUM(Y39:Z39)</f>
        <v>0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391">
        <f>SUM(L35:L39)</f>
        <v>1.0145833333333334</v>
      </c>
      <c r="M40" s="456"/>
      <c r="N40" s="553"/>
      <c r="O40" s="133"/>
      <c r="P40" s="450">
        <f>SUM(P35:P39)</f>
        <v>1.0104166666666665</v>
      </c>
      <c r="Q40" s="63"/>
      <c r="R40" s="63"/>
      <c r="S40" s="63"/>
      <c r="T40" s="63"/>
      <c r="U40" s="64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284"/>
      <c r="B42" s="285"/>
      <c r="C42" s="285"/>
      <c r="D42" s="285"/>
      <c r="E42" s="285"/>
      <c r="F42" s="285"/>
      <c r="G42" s="285"/>
      <c r="H42" s="285"/>
      <c r="I42" s="285"/>
      <c r="J42" s="286"/>
      <c r="K42" s="286"/>
      <c r="L42" s="287"/>
      <c r="M42" s="67"/>
      <c r="N42" s="67"/>
      <c r="O42" s="67"/>
      <c r="X42" s="148"/>
      <c r="Y42" s="168">
        <f>SUM(Y7:Y11,Y14:Y18,Y21:Y25,Y28:Y32,Y35:Y39)</f>
        <v>3.1874999999999996</v>
      </c>
      <c r="Z42" s="169">
        <f>SUM(Z7:Z11,Z14:Z18,Z21:Z25,Z28:Z32,Z35:Z39)</f>
        <v>2.833333333333333</v>
      </c>
      <c r="AA42" s="169">
        <f>SUM(AA7:AA11,AA14:AA18,AA21:AA25,AA28:AA32,AA35:AA39)</f>
        <v>0</v>
      </c>
      <c r="AB42" s="170">
        <f>SUM(AB7:AB11,AB14:AB18,AB21:AB25,AB28:AB32,AB35:AB39)</f>
        <v>6.0208333333333339</v>
      </c>
      <c r="AC42" s="109"/>
      <c r="AD42" s="154"/>
    </row>
    <row r="43" spans="1:30" ht="13.5" thickBot="1" x14ac:dyDescent="0.25">
      <c r="A43" s="288" t="s">
        <v>24</v>
      </c>
      <c r="B43" s="289"/>
      <c r="C43" s="289"/>
      <c r="D43" s="289"/>
      <c r="E43" s="289"/>
      <c r="F43" s="289"/>
      <c r="G43" s="289"/>
      <c r="H43" s="289"/>
      <c r="I43" s="289"/>
      <c r="J43" s="290"/>
      <c r="K43" s="290"/>
      <c r="L43" s="291">
        <f>SUM(L33,L26,L19,L12,L40)</f>
        <v>6.020833333333333</v>
      </c>
      <c r="M43" s="185"/>
      <c r="N43" s="185"/>
      <c r="O43" s="185"/>
      <c r="P43" s="83">
        <f>SUM(P12,P19,P26,P33,P40)</f>
        <v>6.0208333333333321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0.52941176470588236</v>
      </c>
      <c r="Z44" s="155">
        <f>Z42/C47</f>
        <v>0.47058823529411764</v>
      </c>
      <c r="AA44" s="156">
        <f>AA42/C47</f>
        <v>0</v>
      </c>
      <c r="AB44" s="180">
        <f>SUM(Y44:AA44)</f>
        <v>1</v>
      </c>
    </row>
    <row r="45" spans="1:30" ht="18.75" thickBot="1" x14ac:dyDescent="0.25">
      <c r="A45" s="292"/>
      <c r="B45" s="293"/>
      <c r="C45" s="293"/>
      <c r="D45" s="293"/>
      <c r="E45" s="293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18" t="s">
        <v>25</v>
      </c>
      <c r="B46" s="719"/>
      <c r="C46" s="294">
        <f>J1*J2</f>
        <v>6</v>
      </c>
      <c r="D46" s="294"/>
      <c r="E46" s="294"/>
      <c r="F46" s="295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96"/>
      <c r="B47" s="297" t="s">
        <v>26</v>
      </c>
      <c r="C47" s="298">
        <f>L43</f>
        <v>6.020833333333333</v>
      </c>
      <c r="D47" s="298"/>
      <c r="E47" s="298"/>
      <c r="F47" s="299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96"/>
      <c r="B48" s="297" t="s">
        <v>27</v>
      </c>
      <c r="C48" s="294" t="str">
        <f>IF(C46&gt;C47,C46-C47,"00:00:00")</f>
        <v>00:00:00</v>
      </c>
      <c r="D48" s="298"/>
      <c r="E48" s="298"/>
      <c r="F48" s="300"/>
      <c r="K48" s="35"/>
      <c r="P48" s="215"/>
      <c r="Q48" s="216"/>
      <c r="R48" s="216"/>
      <c r="S48" s="216"/>
      <c r="T48" s="264"/>
      <c r="U48" s="216"/>
    </row>
    <row r="49" spans="1:30" ht="13.5" thickBot="1" x14ac:dyDescent="0.25">
      <c r="A49" s="296"/>
      <c r="B49" s="297" t="s">
        <v>28</v>
      </c>
      <c r="C49" s="294">
        <f>IF(C47&gt;C46,C47-C46,"00:00:00")</f>
        <v>2.0833333333333037E-2</v>
      </c>
      <c r="D49" s="301"/>
      <c r="E49" s="302" t="s">
        <v>29</v>
      </c>
      <c r="F49" s="295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292"/>
      <c r="B50" s="293"/>
      <c r="C50" s="293"/>
      <c r="D50" s="293"/>
      <c r="E50" s="293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96"/>
      <c r="B51" s="297" t="s">
        <v>30</v>
      </c>
      <c r="C51" s="68">
        <v>0</v>
      </c>
      <c r="D51" s="294"/>
      <c r="E51" s="303" t="s">
        <v>31</v>
      </c>
      <c r="F51" s="304" t="str">
        <f>IF(C51&gt;C52,C51-C52,"00:00:00")</f>
        <v>00:00:00</v>
      </c>
    </row>
    <row r="52" spans="1:30" ht="13.5" thickBot="1" x14ac:dyDescent="0.25">
      <c r="A52" s="296"/>
      <c r="B52" s="297" t="s">
        <v>32</v>
      </c>
      <c r="C52" s="68">
        <v>0</v>
      </c>
      <c r="D52" s="294"/>
      <c r="E52" s="303" t="s">
        <v>33</v>
      </c>
      <c r="F52" s="304" t="str">
        <f>IF(C52&gt;C51,C52-C51,"00:00:00")</f>
        <v>00:00:00</v>
      </c>
    </row>
    <row r="53" spans="1:30" ht="13.5" thickBot="1" x14ac:dyDescent="0.25">
      <c r="A53" s="712" t="s">
        <v>34</v>
      </c>
      <c r="B53" s="713"/>
      <c r="C53" s="305">
        <f>Horas!I3-Diciembre!J1</f>
        <v>0</v>
      </c>
      <c r="D53" s="714" t="s">
        <v>35</v>
      </c>
      <c r="E53" s="714"/>
      <c r="F53" s="306">
        <v>0</v>
      </c>
      <c r="P53" s="66"/>
      <c r="Q53" s="2"/>
      <c r="R53" s="2"/>
    </row>
    <row r="54" spans="1:30" ht="13.5" thickBot="1" x14ac:dyDescent="0.25">
      <c r="A54" s="715" t="s">
        <v>36</v>
      </c>
      <c r="B54" s="716"/>
      <c r="C54" s="307">
        <v>0</v>
      </c>
      <c r="D54" s="717" t="s">
        <v>37</v>
      </c>
      <c r="E54" s="717"/>
      <c r="F54" s="308">
        <v>0</v>
      </c>
      <c r="P54" s="66"/>
      <c r="Q54" s="2"/>
      <c r="R54" s="2"/>
    </row>
    <row r="55" spans="1:30" ht="13.5" thickBot="1" x14ac:dyDescent="0.25">
      <c r="A55" s="292"/>
      <c r="B55" s="293"/>
      <c r="C55" s="293"/>
      <c r="D55" s="293"/>
      <c r="E55" s="293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A54:B54"/>
    <mergeCell ref="D54:E54"/>
    <mergeCell ref="A46:B46"/>
    <mergeCell ref="Q46:Q47"/>
    <mergeCell ref="R46:R47"/>
    <mergeCell ref="S46:S47"/>
    <mergeCell ref="T46:T47"/>
    <mergeCell ref="A53:B53"/>
    <mergeCell ref="D53:E53"/>
    <mergeCell ref="P19:T19"/>
    <mergeCell ref="X21:X25"/>
    <mergeCell ref="P26:T26"/>
    <mergeCell ref="X28:X32"/>
    <mergeCell ref="P33:T33"/>
    <mergeCell ref="X35:X39"/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2"/>
  <dimension ref="A1:AE59"/>
  <sheetViews>
    <sheetView topLeftCell="A4" workbookViewId="0">
      <selection activeCell="I19" sqref="I19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4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268" t="s">
        <v>0</v>
      </c>
      <c r="B1" s="683" t="s">
        <v>38</v>
      </c>
      <c r="C1" s="684"/>
      <c r="D1" s="685"/>
      <c r="E1" s="269" t="s">
        <v>1</v>
      </c>
      <c r="F1" s="270">
        <v>2.0833333333333329E-2</v>
      </c>
      <c r="I1" s="6" t="s">
        <v>2</v>
      </c>
      <c r="J1" s="271">
        <v>19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272" t="s">
        <v>3</v>
      </c>
      <c r="B2" s="690"/>
      <c r="C2" s="691"/>
      <c r="D2" s="692"/>
      <c r="E2" s="273" t="s">
        <v>4</v>
      </c>
      <c r="F2" s="274">
        <v>1.3888888888888888E-2</v>
      </c>
      <c r="I2" s="8" t="s">
        <v>5</v>
      </c>
      <c r="J2" s="275">
        <v>0.33333333333333331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276" t="s">
        <v>6</v>
      </c>
      <c r="B3" s="693">
        <v>46388</v>
      </c>
      <c r="C3" s="694"/>
      <c r="D3" s="695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07"/>
      <c r="M4" s="402"/>
      <c r="N4" s="696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277" t="s">
        <v>7</v>
      </c>
      <c r="B5" s="278" t="s">
        <v>8</v>
      </c>
      <c r="C5" s="278" t="s">
        <v>9</v>
      </c>
      <c r="D5" s="278" t="s">
        <v>10</v>
      </c>
      <c r="E5" s="278" t="s">
        <v>11</v>
      </c>
      <c r="F5" s="278" t="s">
        <v>12</v>
      </c>
      <c r="G5" s="278" t="s">
        <v>13</v>
      </c>
      <c r="H5" s="278" t="s">
        <v>14</v>
      </c>
      <c r="I5" s="278" t="s">
        <v>15</v>
      </c>
      <c r="J5" s="278" t="s">
        <v>16</v>
      </c>
      <c r="K5" s="278" t="s">
        <v>17</v>
      </c>
      <c r="L5" s="278" t="s">
        <v>18</v>
      </c>
      <c r="M5" s="116" t="s">
        <v>44</v>
      </c>
      <c r="N5" s="117" t="s">
        <v>12</v>
      </c>
      <c r="O5" s="118" t="s">
        <v>15</v>
      </c>
      <c r="T5" s="55">
        <f>C46</f>
        <v>6.333333333333333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222"/>
      <c r="B6" s="223"/>
      <c r="C6" s="223"/>
      <c r="D6" s="223"/>
      <c r="E6" s="223"/>
      <c r="F6" s="223"/>
      <c r="G6" s="223"/>
      <c r="H6" s="223"/>
      <c r="I6" s="223"/>
      <c r="J6" s="224"/>
      <c r="K6" s="224"/>
      <c r="L6" s="451"/>
      <c r="M6" s="395"/>
      <c r="N6" s="122"/>
      <c r="O6" s="123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261" t="s">
        <v>49</v>
      </c>
      <c r="AA6" s="261" t="s">
        <v>50</v>
      </c>
      <c r="AB6" s="262" t="s">
        <v>51</v>
      </c>
      <c r="AC6" s="104"/>
      <c r="AD6" s="186"/>
    </row>
    <row r="7" spans="1:31" ht="12.75" customHeight="1" thickBot="1" x14ac:dyDescent="0.25">
      <c r="A7" s="587"/>
      <c r="B7" s="588"/>
      <c r="C7" s="588"/>
      <c r="D7" s="588"/>
      <c r="E7" s="588"/>
      <c r="F7" s="588"/>
      <c r="G7" s="588"/>
      <c r="H7" s="588"/>
      <c r="I7" s="588"/>
      <c r="J7" s="591"/>
      <c r="K7" s="589"/>
      <c r="L7" s="590"/>
      <c r="M7" s="585"/>
      <c r="N7" s="211"/>
      <c r="O7" s="212"/>
      <c r="P7" s="428">
        <f>MROUND(L7,"0:15")</f>
        <v>0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1</v>
      </c>
      <c r="R7" s="71"/>
      <c r="S7" s="72"/>
      <c r="T7" s="421">
        <f>T5-L7</f>
        <v>6.333333333333333</v>
      </c>
      <c r="U7" s="555"/>
      <c r="V7" s="76">
        <v>0</v>
      </c>
      <c r="W7" s="280"/>
      <c r="X7" s="701"/>
      <c r="Y7" s="150" t="str">
        <f>IF(O7="O",V7 - AA7,"0:00:00")</f>
        <v>0:00:00</v>
      </c>
      <c r="Z7" s="138" t="str">
        <f>IF(M7="C",P7,"0:00:00")</f>
        <v>0:00:00</v>
      </c>
      <c r="AA7" s="138" t="str">
        <f>IF(P7="M",Q7-P7,"0:00:00")</f>
        <v>0:00:00</v>
      </c>
      <c r="AB7" s="157">
        <f>SUM(Y7:Z7)</f>
        <v>0</v>
      </c>
      <c r="AC7" s="139">
        <v>0</v>
      </c>
      <c r="AD7" s="188"/>
      <c r="AE7" s="256"/>
    </row>
    <row r="8" spans="1:31" ht="12.75" customHeight="1" thickBot="1" x14ac:dyDescent="0.25">
      <c r="A8" s="587"/>
      <c r="B8" s="588"/>
      <c r="C8" s="588"/>
      <c r="D8" s="588"/>
      <c r="E8" s="588"/>
      <c r="F8" s="588"/>
      <c r="G8" s="588"/>
      <c r="H8" s="588"/>
      <c r="I8" s="588"/>
      <c r="J8" s="589"/>
      <c r="K8" s="589"/>
      <c r="L8" s="590"/>
      <c r="M8" s="585"/>
      <c r="N8" s="211"/>
      <c r="O8" s="212"/>
      <c r="P8" s="428">
        <f>MROUND(L8,"0:15")</f>
        <v>0</v>
      </c>
      <c r="Q8" s="95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1</v>
      </c>
      <c r="R8" s="95"/>
      <c r="S8" s="96"/>
      <c r="T8" s="422">
        <f>T7-L8</f>
        <v>6.333333333333333</v>
      </c>
      <c r="U8" s="559"/>
      <c r="V8" s="77">
        <v>0</v>
      </c>
      <c r="W8" s="193"/>
      <c r="X8" s="689"/>
      <c r="Y8" s="580" t="str">
        <f>IF(M8="O",P8 - AA8,"0:00:00")</f>
        <v>0:00:00</v>
      </c>
      <c r="Z8" s="581" t="str">
        <f>IF(M8="C",P8,"0:00:00")</f>
        <v>0:00:00</v>
      </c>
      <c r="AA8" s="562">
        <v>0</v>
      </c>
      <c r="AB8" s="563">
        <f>SUM(Y8:Z8)</f>
        <v>0</v>
      </c>
      <c r="AC8" s="141">
        <v>0</v>
      </c>
      <c r="AD8" s="189"/>
    </row>
    <row r="9" spans="1:31" s="1" customFormat="1" ht="12.75" customHeight="1" thickBot="1" x14ac:dyDescent="0.25">
      <c r="A9" s="587"/>
      <c r="B9" s="588"/>
      <c r="C9" s="588"/>
      <c r="D9" s="588"/>
      <c r="E9" s="588"/>
      <c r="F9" s="588"/>
      <c r="G9" s="588"/>
      <c r="H9" s="588"/>
      <c r="I9" s="588"/>
      <c r="J9" s="589"/>
      <c r="K9" s="589"/>
      <c r="L9" s="590"/>
      <c r="M9" s="405"/>
      <c r="N9" s="211"/>
      <c r="O9" s="212"/>
      <c r="P9" s="428">
        <f>MROUND(L9,"0:15")</f>
        <v>0</v>
      </c>
      <c r="Q9" s="8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1</v>
      </c>
      <c r="R9" s="84"/>
      <c r="S9" s="85"/>
      <c r="T9" s="423">
        <f>T8-L9</f>
        <v>6.333333333333333</v>
      </c>
      <c r="U9" s="564"/>
      <c r="V9" s="182">
        <v>0</v>
      </c>
      <c r="W9" s="281"/>
      <c r="X9" s="689"/>
      <c r="Y9" s="567" t="str">
        <f>IF(M9="O",P9 - AA9,"0:00:00")</f>
        <v>0:00:00</v>
      </c>
      <c r="Z9" s="567" t="str">
        <f>IF(M9="C",P9,"0:00:00")</f>
        <v>0:00:00</v>
      </c>
      <c r="AA9" s="577" t="str">
        <f>IF(P9="M",Q9-P9,"0:00:00")</f>
        <v>0:00:00</v>
      </c>
      <c r="AB9" s="568">
        <f>SUM(Y9:Z9)</f>
        <v>0</v>
      </c>
      <c r="AC9" s="195">
        <v>0</v>
      </c>
      <c r="AD9" s="196" t="b">
        <f>V9=AC9</f>
        <v>1</v>
      </c>
    </row>
    <row r="10" spans="1:31" ht="12.75" customHeight="1" thickBot="1" x14ac:dyDescent="0.25">
      <c r="A10" s="587"/>
      <c r="B10" s="588"/>
      <c r="C10" s="588"/>
      <c r="D10" s="588"/>
      <c r="E10" s="588"/>
      <c r="F10" s="588"/>
      <c r="G10" s="588"/>
      <c r="H10" s="588"/>
      <c r="I10" s="588"/>
      <c r="J10" s="589"/>
      <c r="K10" s="589"/>
      <c r="L10" s="590"/>
      <c r="M10" s="405"/>
      <c r="N10" s="213"/>
      <c r="O10" s="214"/>
      <c r="P10" s="428">
        <f>MROUND(L10,"0:15")</f>
        <v>0</v>
      </c>
      <c r="Q10" s="8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1</v>
      </c>
      <c r="R10" s="84"/>
      <c r="S10" s="85"/>
      <c r="T10" s="423">
        <f>T9-L10</f>
        <v>6.333333333333333</v>
      </c>
      <c r="U10" s="564"/>
      <c r="V10" s="182">
        <v>0.45833333333333331</v>
      </c>
      <c r="W10" s="281"/>
      <c r="X10" s="689"/>
      <c r="Y10" s="562" t="str">
        <f>IF(M10="O",P10 - AA10,"0:00:00")</f>
        <v>0:00:00</v>
      </c>
      <c r="Z10" s="562" t="str">
        <f>IF(M10="C",P10,"0:00:00")</f>
        <v>0:00:00</v>
      </c>
      <c r="AA10" s="578" t="str">
        <f>IF(P10="M",Q10-P10,"0:00:00")</f>
        <v>0:00:00</v>
      </c>
      <c r="AB10" s="563">
        <f>SUM(Y10:Z10)</f>
        <v>0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311">
        <v>46388</v>
      </c>
      <c r="B11" s="312"/>
      <c r="C11" s="312"/>
      <c r="D11" s="312"/>
      <c r="E11" s="312"/>
      <c r="F11" s="312"/>
      <c r="G11" s="312"/>
      <c r="H11" s="312"/>
      <c r="I11" s="312"/>
      <c r="J11" s="313">
        <v>0</v>
      </c>
      <c r="K11" s="313">
        <f>IF((D11-C11)&lt;=$F$2,0,(D11-C11)-$F$2)</f>
        <v>0</v>
      </c>
      <c r="L11" s="507">
        <f>(I11-B11)-K11-(H11-G11)-J11</f>
        <v>0</v>
      </c>
      <c r="M11" s="405" t="s">
        <v>45</v>
      </c>
      <c r="N11" s="211"/>
      <c r="O11" s="212"/>
      <c r="P11" s="428">
        <f>MROUND(L11,"0:15")</f>
        <v>0</v>
      </c>
      <c r="Q11" s="197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1</v>
      </c>
      <c r="R11" s="197"/>
      <c r="S11" s="198"/>
      <c r="T11" s="445">
        <f>T10-L11</f>
        <v>6.333333333333333</v>
      </c>
      <c r="U11" s="569"/>
      <c r="V11" s="182">
        <v>0.29166666666666669</v>
      </c>
      <c r="W11" s="281">
        <v>45261</v>
      </c>
      <c r="X11" s="702"/>
      <c r="Y11" s="152">
        <f>IF(M11="O",P11 - AA11,"0:00:00")</f>
        <v>0</v>
      </c>
      <c r="Z11" s="152" t="str">
        <f>IF(M11="C",P11,"0:00:00")</f>
        <v>0:00:00</v>
      </c>
      <c r="AA11" s="505" t="str">
        <f>IF(P11="M",Q11-P11,"0:00:00")</f>
        <v>0:00:00</v>
      </c>
      <c r="AB11" s="159">
        <f>SUM(Y11:Z11)</f>
        <v>0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0</v>
      </c>
      <c r="M12" s="396"/>
      <c r="N12" s="122"/>
      <c r="O12" s="123"/>
      <c r="P12" s="703">
        <f>SUM(P7:P11)</f>
        <v>0</v>
      </c>
      <c r="Q12" s="704"/>
      <c r="R12" s="704"/>
      <c r="S12" s="704"/>
      <c r="T12" s="705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397"/>
      <c r="N13" s="122"/>
      <c r="O13" s="123"/>
      <c r="P13" s="426"/>
      <c r="Q13" s="57">
        <f>Q11</f>
        <v>1</v>
      </c>
      <c r="R13" s="57"/>
      <c r="S13" s="58"/>
      <c r="T13" s="541"/>
      <c r="U13" s="374"/>
      <c r="V13" s="35"/>
      <c r="W13" s="69"/>
      <c r="X13" s="148"/>
      <c r="Y13" s="241"/>
      <c r="Z13" s="242"/>
      <c r="AA13" s="162"/>
      <c r="AB13" s="163"/>
      <c r="AC13" s="146"/>
      <c r="AD13" s="149"/>
    </row>
    <row r="14" spans="1:31" s="1" customFormat="1" ht="12" thickBot="1" x14ac:dyDescent="0.25">
      <c r="A14" s="605">
        <v>46391</v>
      </c>
      <c r="B14" s="266">
        <v>0.3</v>
      </c>
      <c r="C14" s="266">
        <v>0.47430555555555554</v>
      </c>
      <c r="D14" s="266">
        <v>0.48194444444444445</v>
      </c>
      <c r="E14" s="266"/>
      <c r="F14" s="266"/>
      <c r="G14" s="266"/>
      <c r="H14" s="266"/>
      <c r="I14" s="266">
        <v>0.62222222222222223</v>
      </c>
      <c r="J14" s="609">
        <v>0</v>
      </c>
      <c r="K14" s="609">
        <f>IF((D14-C14)&lt;=$F$2,0,(D14-C14)-$F$2)</f>
        <v>0</v>
      </c>
      <c r="L14" s="610">
        <f>(I14-B14)-K14-(H14-G14)-J14</f>
        <v>0.32222222222222224</v>
      </c>
      <c r="M14" s="403" t="s">
        <v>45</v>
      </c>
      <c r="N14" s="211"/>
      <c r="O14" s="212"/>
      <c r="P14" s="428">
        <f>MROUND(L14,"0:15")</f>
        <v>0.32291666666666663</v>
      </c>
      <c r="Q14" s="201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0</v>
      </c>
      <c r="R14" s="201"/>
      <c r="S14" s="202"/>
      <c r="T14" s="429">
        <f>T11-L14</f>
        <v>6.0111111111111111</v>
      </c>
      <c r="U14" s="571"/>
      <c r="V14" s="205">
        <v>0.30208333333333331</v>
      </c>
      <c r="W14" s="283">
        <v>45264</v>
      </c>
      <c r="X14" s="682"/>
      <c r="Y14" s="344">
        <f>IF(M14="O",P14 - AA14,"0:00:00")</f>
        <v>0.32291666666666663</v>
      </c>
      <c r="Z14" s="344" t="str">
        <f>IF(M14="C",P14,"0:00:00")</f>
        <v>0:00:00</v>
      </c>
      <c r="AA14" s="534" t="str">
        <f>IF(P14="M",Q14-P14,"0:00:00")</f>
        <v>0:00:00</v>
      </c>
      <c r="AB14" s="535">
        <f>SUM(Y14:Z14)</f>
        <v>0.32291666666666663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605">
        <v>46392</v>
      </c>
      <c r="B15" s="608">
        <v>0.33124999999999999</v>
      </c>
      <c r="C15" s="608">
        <v>0.51527777777777783</v>
      </c>
      <c r="D15" s="608">
        <v>0.52916666666666667</v>
      </c>
      <c r="E15" s="608">
        <v>0.63541666666666663</v>
      </c>
      <c r="F15" s="608">
        <v>0.65625</v>
      </c>
      <c r="G15" s="608"/>
      <c r="H15" s="608"/>
      <c r="I15" s="608">
        <v>0.7270833333333333</v>
      </c>
      <c r="J15" s="609">
        <f>IF((F15-E15)&lt;$F$1,$F$1,F15-E15)</f>
        <v>2.083333333333337E-2</v>
      </c>
      <c r="K15" s="609">
        <f>IF((D15-C15)&lt;=$F$2,0,(D15-C15)-$F$2)</f>
        <v>0</v>
      </c>
      <c r="L15" s="610">
        <f>(I15-B15)-K15-(H15-G15)-J15</f>
        <v>0.37499999999999994</v>
      </c>
      <c r="M15" s="405" t="s">
        <v>45</v>
      </c>
      <c r="N15" s="211"/>
      <c r="O15" s="212"/>
      <c r="P15" s="428">
        <f>MROUND(L15,"0:15")</f>
        <v>0.375</v>
      </c>
      <c r="Q15" s="8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0</v>
      </c>
      <c r="R15" s="84"/>
      <c r="S15" s="85"/>
      <c r="T15" s="423">
        <f>T14-L15</f>
        <v>5.6361111111111111</v>
      </c>
      <c r="U15" s="564"/>
      <c r="V15" s="206">
        <v>0.25</v>
      </c>
      <c r="W15" s="283">
        <v>45265</v>
      </c>
      <c r="X15" s="682"/>
      <c r="Y15" s="140">
        <f>IF(M15="O",P15 - AA15,"0:00:00")</f>
        <v>0.375</v>
      </c>
      <c r="Z15" s="140" t="str">
        <f>IF(M15="C",P15,"0:00:00")</f>
        <v>0:00:00</v>
      </c>
      <c r="AA15" s="140" t="str">
        <f>IF(P15="M",Q15-P15,"0:00:00")</f>
        <v>0:00:00</v>
      </c>
      <c r="AB15" s="140">
        <f>SUM(Y15:Z15)</f>
        <v>0.375</v>
      </c>
      <c r="AC15" s="141">
        <v>0.25</v>
      </c>
      <c r="AD15" s="189" t="b">
        <f>V15=AC15</f>
        <v>1</v>
      </c>
    </row>
    <row r="16" spans="1:31" s="1" customFormat="1" ht="12.75" customHeight="1" thickBot="1" x14ac:dyDescent="0.25">
      <c r="A16" s="311">
        <v>46393</v>
      </c>
      <c r="B16" s="312"/>
      <c r="C16" s="312"/>
      <c r="D16" s="312"/>
      <c r="E16" s="312"/>
      <c r="F16" s="312"/>
      <c r="G16" s="312"/>
      <c r="H16" s="312"/>
      <c r="I16" s="312"/>
      <c r="J16" s="313">
        <v>0</v>
      </c>
      <c r="K16" s="313">
        <f>IF((D16-C16)&lt;=$F$2,0,(D16-C16)-$F$2)</f>
        <v>0</v>
      </c>
      <c r="L16" s="507">
        <f>(I16-B16)-K16-(H16-G16)-J16</f>
        <v>0</v>
      </c>
      <c r="M16" s="405" t="s">
        <v>45</v>
      </c>
      <c r="N16" s="211"/>
      <c r="O16" s="212"/>
      <c r="P16" s="428">
        <f>MROUND(L16,"0:15")</f>
        <v>0</v>
      </c>
      <c r="Q16" s="95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0</v>
      </c>
      <c r="R16" s="95"/>
      <c r="S16" s="96"/>
      <c r="T16" s="431">
        <f>T15-P16</f>
        <v>5.6361111111111111</v>
      </c>
      <c r="U16" s="572"/>
      <c r="V16" s="206">
        <v>0.23958333333333334</v>
      </c>
      <c r="W16" s="283">
        <v>45266</v>
      </c>
      <c r="X16" s="682"/>
      <c r="Y16" s="140">
        <f>IF(M16="O",P16 - AA16,"0:00:00")</f>
        <v>0</v>
      </c>
      <c r="Z16" s="140" t="str">
        <f>IF(M16="C",P16,"0:00:00")</f>
        <v>0:00:00</v>
      </c>
      <c r="AA16" s="140" t="str">
        <f>IF(P16="M",Q16-P16,"0:00:00")</f>
        <v>0:00:00</v>
      </c>
      <c r="AB16" s="140">
        <f>SUM(Y16:Z16)</f>
        <v>0</v>
      </c>
      <c r="AC16" s="141">
        <v>0.23958333333333334</v>
      </c>
      <c r="AD16" s="189" t="b">
        <f>V16=AC16</f>
        <v>1</v>
      </c>
    </row>
    <row r="17" spans="1:30" ht="12.75" customHeight="1" thickBot="1" x14ac:dyDescent="0.25">
      <c r="A17" s="605">
        <v>46394</v>
      </c>
      <c r="B17" s="266">
        <v>0.3</v>
      </c>
      <c r="C17" s="266">
        <v>0.54097222222222219</v>
      </c>
      <c r="D17" s="266">
        <v>0.55486111111111114</v>
      </c>
      <c r="E17" s="266"/>
      <c r="F17" s="266"/>
      <c r="G17" s="266"/>
      <c r="H17" s="266"/>
      <c r="I17" s="266">
        <v>0.61527777777777781</v>
      </c>
      <c r="J17" s="265">
        <v>0</v>
      </c>
      <c r="K17" s="265">
        <f>IF((D17-C17)&lt;=$F$2,0,(D17-C17)-$F$2)</f>
        <v>6.2450045135165055E-17</v>
      </c>
      <c r="L17" s="319">
        <f>(I17-B17)-K17-(H17-G17)-J17</f>
        <v>0.31527777777777777</v>
      </c>
      <c r="M17" s="405" t="s">
        <v>53</v>
      </c>
      <c r="N17" s="213"/>
      <c r="O17" s="214"/>
      <c r="P17" s="428">
        <f>MROUND(L17,"0:15")</f>
        <v>0.3125</v>
      </c>
      <c r="Q17" s="8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4</v>
      </c>
      <c r="R17" s="84"/>
      <c r="S17" s="85"/>
      <c r="T17" s="432">
        <f>T16-P17</f>
        <v>5.3236111111111111</v>
      </c>
      <c r="U17" s="574"/>
      <c r="V17" s="206">
        <v>0</v>
      </c>
      <c r="W17" s="283">
        <v>45267</v>
      </c>
      <c r="X17" s="682"/>
      <c r="Y17" s="140" t="str">
        <f>IF(M17="O",P17 - AA17,"0:00:00")</f>
        <v>0:00:00</v>
      </c>
      <c r="Z17" s="140">
        <f>IF(M17="C",P17,"0:00:00")</f>
        <v>0.3125</v>
      </c>
      <c r="AA17" s="537" t="str">
        <f>IF(P17="M",Q17-P17,"0:00:00")</f>
        <v>0:00:00</v>
      </c>
      <c r="AB17" s="344">
        <f>SUM(Y17:Z17)</f>
        <v>0.3125</v>
      </c>
      <c r="AC17" s="195">
        <v>0</v>
      </c>
      <c r="AD17" s="196" t="b">
        <f>V17=AC17</f>
        <v>1</v>
      </c>
    </row>
    <row r="18" spans="1:30" ht="13.5" thickBot="1" x14ac:dyDescent="0.25">
      <c r="A18" s="605">
        <v>46395</v>
      </c>
      <c r="B18" s="266">
        <v>0.31041666666666667</v>
      </c>
      <c r="C18" s="266"/>
      <c r="D18" s="266"/>
      <c r="E18" s="266"/>
      <c r="F18" s="266"/>
      <c r="G18" s="266"/>
      <c r="H18" s="266"/>
      <c r="I18" s="266">
        <v>0.6333333333333333</v>
      </c>
      <c r="J18" s="265">
        <v>0</v>
      </c>
      <c r="K18" s="265">
        <f>IF((D18-C18)&lt;=$F$2,0,(D18-C18)-$F$2)</f>
        <v>0</v>
      </c>
      <c r="L18" s="319">
        <f>(I18-B18)-K18-(H18-G18)-J18</f>
        <v>0.32291666666666663</v>
      </c>
      <c r="M18" s="405" t="s">
        <v>53</v>
      </c>
      <c r="N18" s="211"/>
      <c r="O18" s="212"/>
      <c r="P18" s="428">
        <f>MROUND(L18,"0:15")</f>
        <v>0.32291666666666663</v>
      </c>
      <c r="Q18" s="199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4</v>
      </c>
      <c r="R18" s="199"/>
      <c r="S18" s="200"/>
      <c r="T18" s="433">
        <f>T17-L18</f>
        <v>5.0006944444444441</v>
      </c>
      <c r="U18" s="573"/>
      <c r="V18" s="207">
        <v>0</v>
      </c>
      <c r="W18" s="283">
        <v>45268</v>
      </c>
      <c r="X18" s="682"/>
      <c r="Y18" s="364" t="str">
        <f>IF(M18="O",P18 - AA18,"0:00:00")</f>
        <v>0:00:00</v>
      </c>
      <c r="Z18" s="365">
        <f>IF(M18="C",P18,"0:00:00")</f>
        <v>0.32291666666666663</v>
      </c>
      <c r="AA18" s="143" t="str">
        <f>IF(P18="M",Q18-P18,"0:00:00")</f>
        <v>0:00:00</v>
      </c>
      <c r="AB18" s="159">
        <f>SUM(Y18:Z18)</f>
        <v>0.32291666666666663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1.3354166666666667</v>
      </c>
      <c r="M19" s="396"/>
      <c r="N19" s="122"/>
      <c r="O19" s="123"/>
      <c r="P19" s="706">
        <f>SUM(P14:P18)</f>
        <v>1.333333333333333</v>
      </c>
      <c r="Q19" s="707"/>
      <c r="R19" s="707"/>
      <c r="S19" s="707"/>
      <c r="T19" s="708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454"/>
      <c r="N20" s="122"/>
      <c r="O20" s="123"/>
      <c r="P20" s="434"/>
      <c r="Q20" s="61">
        <f>Q18</f>
        <v>4</v>
      </c>
      <c r="R20" s="61"/>
      <c r="S20" s="62"/>
      <c r="T20" s="542"/>
      <c r="U20" s="385"/>
      <c r="V20" s="35"/>
      <c r="W20" s="79"/>
      <c r="X20" s="148"/>
      <c r="Y20" s="241"/>
      <c r="Z20" s="242"/>
      <c r="AA20" s="162"/>
      <c r="AB20" s="163"/>
      <c r="AC20" s="146"/>
      <c r="AD20" s="149"/>
    </row>
    <row r="21" spans="1:30" ht="12.75" customHeight="1" thickBot="1" x14ac:dyDescent="0.25">
      <c r="A21" s="282">
        <v>46398</v>
      </c>
      <c r="B21" s="266">
        <v>0.30833333333333335</v>
      </c>
      <c r="C21" s="266">
        <v>0.5229166666666667</v>
      </c>
      <c r="D21" s="266">
        <v>0.53680555555555554</v>
      </c>
      <c r="E21" s="266"/>
      <c r="F21" s="266"/>
      <c r="G21" s="266"/>
      <c r="H21" s="266"/>
      <c r="I21" s="266">
        <v>0.62708333333333333</v>
      </c>
      <c r="J21" s="265">
        <v>0</v>
      </c>
      <c r="K21" s="265">
        <f>IF((D21-C21)&lt;=$F$2,0,(D21-C21)-$F$2)</f>
        <v>0</v>
      </c>
      <c r="L21" s="319">
        <f>(I21-B21)-K21-(H21-G21)-J21</f>
        <v>0.31874999999999998</v>
      </c>
      <c r="M21" s="403" t="s">
        <v>45</v>
      </c>
      <c r="N21" s="211"/>
      <c r="O21" s="212"/>
      <c r="P21" s="428">
        <f>MROUND(L21,"0:15")</f>
        <v>0.32291666666666663</v>
      </c>
      <c r="Q21" s="98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-2</v>
      </c>
      <c r="R21" s="98"/>
      <c r="S21" s="99"/>
      <c r="T21" s="436">
        <f>T18-L21</f>
        <v>4.6819444444444445</v>
      </c>
      <c r="U21" s="514"/>
      <c r="V21" s="205">
        <v>0.36458333333333331</v>
      </c>
      <c r="W21" s="280">
        <v>45271</v>
      </c>
      <c r="X21" s="682"/>
      <c r="Y21" s="344">
        <f>IF(M21="O",P21 - AA21,"0:00:00")</f>
        <v>0.32291666666666663</v>
      </c>
      <c r="Z21" s="344" t="str">
        <f>IF(M21="C",P21,"0:00:00")</f>
        <v>0:00:00</v>
      </c>
      <c r="AA21" s="531" t="str">
        <f>IF(P21="M",Q21-P21,"0:00:00")</f>
        <v>0:00:00</v>
      </c>
      <c r="AB21" s="157">
        <f>SUM(Y21:Z21)</f>
        <v>0.32291666666666663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82">
        <v>46399</v>
      </c>
      <c r="B22" s="266">
        <v>0.33194444444444443</v>
      </c>
      <c r="C22" s="266">
        <v>0.54166666666666663</v>
      </c>
      <c r="D22" s="266">
        <v>0.5541666666666667</v>
      </c>
      <c r="E22" s="266">
        <v>0.65069444444444446</v>
      </c>
      <c r="F22" s="266">
        <v>0.66875000000000007</v>
      </c>
      <c r="G22" s="266"/>
      <c r="H22" s="266"/>
      <c r="I22" s="266">
        <v>0.73958333333333337</v>
      </c>
      <c r="J22" s="265">
        <f>IF((F22-E22)&lt;$F$1,$F$1,F22-E22)</f>
        <v>2.0833333333333329E-2</v>
      </c>
      <c r="K22" s="265">
        <f>IF((D22-C22)&lt;=$F$2,0,(D22-C22)-$F$2)</f>
        <v>0</v>
      </c>
      <c r="L22" s="319">
        <f>(I22-B22)-K22-(H22-G22)-J22</f>
        <v>0.38680555555555562</v>
      </c>
      <c r="M22" s="405" t="s">
        <v>53</v>
      </c>
      <c r="N22" s="211"/>
      <c r="O22" s="212"/>
      <c r="P22" s="428">
        <f>MROUND(L22,"0:15")</f>
        <v>0.38541666666666663</v>
      </c>
      <c r="Q22" s="95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0</v>
      </c>
      <c r="R22" s="95"/>
      <c r="S22" s="96"/>
      <c r="T22" s="422">
        <f>T21-L22</f>
        <v>4.2951388888888893</v>
      </c>
      <c r="U22" s="559"/>
      <c r="V22" s="206">
        <v>0.36458333333333331</v>
      </c>
      <c r="W22" s="280">
        <v>45272</v>
      </c>
      <c r="X22" s="682"/>
      <c r="Y22" s="140" t="str">
        <f>IF(M22="O",P22 - AA22,"0:00:00")</f>
        <v>0:00:00</v>
      </c>
      <c r="Z22" s="140">
        <f>IF(M22="C",P22,"0:00:00")</f>
        <v>0.38541666666666663</v>
      </c>
      <c r="AA22" s="504" t="str">
        <f>IF(P22="M",Q22-P22,"0:00:00")</f>
        <v>0:00:00</v>
      </c>
      <c r="AB22" s="158">
        <f>SUM(Y22:Z22)</f>
        <v>0.38541666666666663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82">
        <v>46400</v>
      </c>
      <c r="B23" s="266">
        <v>0.30972222222222223</v>
      </c>
      <c r="C23" s="266">
        <v>0.49583333333333335</v>
      </c>
      <c r="D23" s="266">
        <v>0.50902777777777775</v>
      </c>
      <c r="E23" s="266"/>
      <c r="F23" s="266"/>
      <c r="G23" s="266"/>
      <c r="H23" s="266"/>
      <c r="I23" s="266">
        <v>0.62361111111111112</v>
      </c>
      <c r="J23" s="265">
        <v>0</v>
      </c>
      <c r="K23" s="265">
        <f>IF((D23-C23)&lt;=$F$2,0,(D23-C23)-$F$2)</f>
        <v>0</v>
      </c>
      <c r="L23" s="319">
        <f>(I23-B23)-K23-(H23-G23)-J23</f>
        <v>0.31388888888888888</v>
      </c>
      <c r="M23" s="405" t="s">
        <v>45</v>
      </c>
      <c r="N23" s="211"/>
      <c r="O23" s="212"/>
      <c r="P23" s="428">
        <f>MROUND(L23,"0:15")</f>
        <v>0.3125</v>
      </c>
      <c r="Q23" s="95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2</v>
      </c>
      <c r="R23" s="95"/>
      <c r="S23" s="96"/>
      <c r="T23" s="422">
        <f>T22-L23</f>
        <v>3.9812500000000002</v>
      </c>
      <c r="U23" s="559"/>
      <c r="V23" s="206">
        <v>0.45833333333333331</v>
      </c>
      <c r="W23" s="280">
        <v>45273</v>
      </c>
      <c r="X23" s="682"/>
      <c r="Y23" s="140">
        <f>IF(M23="O",P23 - AA23,"0:00:00")</f>
        <v>0.3125</v>
      </c>
      <c r="Z23" s="140" t="str">
        <f>IF(M23="C",P23,"0:00:00")</f>
        <v>0:00:00</v>
      </c>
      <c r="AA23" s="504" t="str">
        <f>IF(P23="M",Q23-P23,"0:00:00")</f>
        <v>0:00:00</v>
      </c>
      <c r="AB23" s="158">
        <f>SUM(Y23:Z23)</f>
        <v>0.3125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82">
        <v>46401</v>
      </c>
      <c r="B24" s="266">
        <v>0.30902777777777779</v>
      </c>
      <c r="C24" s="266">
        <v>0.49027777777777781</v>
      </c>
      <c r="D24" s="266">
        <v>0.50416666666666665</v>
      </c>
      <c r="E24" s="266"/>
      <c r="F24" s="266"/>
      <c r="G24" s="266"/>
      <c r="H24" s="266"/>
      <c r="I24" s="266">
        <v>0.6381944444444444</v>
      </c>
      <c r="J24" s="265">
        <v>0</v>
      </c>
      <c r="K24" s="265">
        <f>IF((D24-C24)&lt;=$F$2,0,(D24-C24)-$F$2)</f>
        <v>0</v>
      </c>
      <c r="L24" s="319">
        <f>(I24-B24)-K24-(H24-G24)-J24</f>
        <v>0.32916666666666661</v>
      </c>
      <c r="M24" s="405" t="s">
        <v>45</v>
      </c>
      <c r="N24" s="211"/>
      <c r="O24" s="212"/>
      <c r="P24" s="428">
        <f>MROUND(L24,"0:15")</f>
        <v>0.33333333333333331</v>
      </c>
      <c r="Q24" s="249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-4</v>
      </c>
      <c r="R24" s="249"/>
      <c r="S24" s="250"/>
      <c r="T24" s="437">
        <f>T23-L24</f>
        <v>3.6520833333333336</v>
      </c>
      <c r="U24" s="559"/>
      <c r="V24" s="182">
        <v>0.32291666666666669</v>
      </c>
      <c r="W24" s="280">
        <v>45274</v>
      </c>
      <c r="X24" s="682"/>
      <c r="Y24" s="140">
        <f>IF(M24="O",P24 - AA24,"0:00:00")</f>
        <v>0.33333333333333331</v>
      </c>
      <c r="Z24" s="140" t="str">
        <f>IF(M24="C",P24,"0:00:00")</f>
        <v>0:00:00</v>
      </c>
      <c r="AA24" s="504" t="str">
        <f>IF(P24="M",Q24-P24,"0:00:00")</f>
        <v>0:00:00</v>
      </c>
      <c r="AB24" s="158">
        <f>SUM(Y24:Z24)</f>
        <v>0.33333333333333331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282">
        <v>46402</v>
      </c>
      <c r="B25" s="266">
        <v>0.30069444444444443</v>
      </c>
      <c r="C25" s="266"/>
      <c r="D25" s="266"/>
      <c r="E25" s="266"/>
      <c r="F25" s="266"/>
      <c r="G25" s="266"/>
      <c r="H25" s="266"/>
      <c r="I25" s="266">
        <v>0.6166666666666667</v>
      </c>
      <c r="J25" s="265">
        <v>0</v>
      </c>
      <c r="K25" s="265">
        <f>IF((D25-C25)&lt;=$F$2,0,(D25-C25)-$F$2)</f>
        <v>0</v>
      </c>
      <c r="L25" s="319">
        <f>(I25-B25)-K25-(H25-G25)-J25</f>
        <v>0.31597222222222227</v>
      </c>
      <c r="M25" s="405" t="s">
        <v>53</v>
      </c>
      <c r="N25" s="211"/>
      <c r="O25" s="212"/>
      <c r="P25" s="428">
        <f>MROUND(L25,"0:15")</f>
        <v>0.3125</v>
      </c>
      <c r="Q25" s="251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1</v>
      </c>
      <c r="R25" s="251"/>
      <c r="S25" s="252"/>
      <c r="T25" s="438">
        <f>T24-L25</f>
        <v>3.3361111111111112</v>
      </c>
      <c r="U25" s="575"/>
      <c r="V25" s="182">
        <v>0.36458333333333331</v>
      </c>
      <c r="W25" s="280">
        <v>45275</v>
      </c>
      <c r="X25" s="682"/>
      <c r="Y25" s="152" t="str">
        <f>IF(M25="O",P25 - AA25,"0:00:00")</f>
        <v>0:00:00</v>
      </c>
      <c r="Z25" s="502">
        <f>IF(M25="C",P25,"0:00:00")</f>
        <v>0.3125</v>
      </c>
      <c r="AA25" s="143" t="str">
        <f>IF(P25="M",Q25-P25,"0:00:00")</f>
        <v>0:00:00</v>
      </c>
      <c r="AB25" s="159">
        <f>SUM(Y25:Z25)</f>
        <v>0.3125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1.6645833333333333</v>
      </c>
      <c r="M26" s="396"/>
      <c r="N26" s="128"/>
      <c r="O26" s="129"/>
      <c r="P26" s="706">
        <f>SUM(P21:P25)</f>
        <v>1.6666666666666665</v>
      </c>
      <c r="Q26" s="707"/>
      <c r="R26" s="707"/>
      <c r="S26" s="707"/>
      <c r="T26" s="708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417"/>
      <c r="N27" s="130"/>
      <c r="O27" s="131"/>
      <c r="P27" s="426"/>
      <c r="Q27" s="57">
        <f>Q25</f>
        <v>1</v>
      </c>
      <c r="R27" s="57"/>
      <c r="S27" s="58"/>
      <c r="T27" s="541"/>
      <c r="U27" s="374"/>
      <c r="V27" s="35"/>
      <c r="W27" s="81"/>
      <c r="X27" s="148"/>
      <c r="Y27" s="241"/>
      <c r="Z27" s="242"/>
      <c r="AA27" s="162"/>
      <c r="AB27" s="163"/>
      <c r="AC27" s="146"/>
      <c r="AD27" s="149"/>
    </row>
    <row r="28" spans="1:30" ht="15.75" customHeight="1" thickBot="1" x14ac:dyDescent="0.25">
      <c r="A28" s="282">
        <v>46405</v>
      </c>
      <c r="B28" s="266">
        <v>0.30833333333333335</v>
      </c>
      <c r="C28" s="266">
        <v>0.5229166666666667</v>
      </c>
      <c r="D28" s="266">
        <v>0.53680555555555554</v>
      </c>
      <c r="E28" s="266"/>
      <c r="F28" s="266"/>
      <c r="G28" s="266"/>
      <c r="H28" s="266"/>
      <c r="I28" s="266">
        <v>0.62708333333333333</v>
      </c>
      <c r="J28" s="265">
        <v>0</v>
      </c>
      <c r="K28" s="265">
        <f>IF((D28-C28)&lt;=$F$2,0,(D28-C28)-$F$2)</f>
        <v>0</v>
      </c>
      <c r="L28" s="319">
        <f>(I28-B28)-K28-(H28-G28)-J28</f>
        <v>0.31874999999999998</v>
      </c>
      <c r="M28" s="405" t="s">
        <v>45</v>
      </c>
      <c r="N28" s="211"/>
      <c r="O28" s="212"/>
      <c r="P28" s="428">
        <f>MROUND(L28,"0:15")</f>
        <v>0.32291666666666663</v>
      </c>
      <c r="Q28" s="98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-5</v>
      </c>
      <c r="R28" s="98"/>
      <c r="S28" s="99"/>
      <c r="T28" s="436">
        <f>T25-L28</f>
        <v>3.0173611111111112</v>
      </c>
      <c r="U28" s="100"/>
      <c r="V28" s="205">
        <v>0.30208333333333331</v>
      </c>
      <c r="W28" s="280">
        <v>45278</v>
      </c>
      <c r="X28" s="682"/>
      <c r="Y28" s="344">
        <f>IF(M28="O",P28 - AA28,"0:00:00")</f>
        <v>0.32291666666666663</v>
      </c>
      <c r="Z28" s="344" t="str">
        <f>IF(M28="C",P28,"0:00:00")</f>
        <v>0:00:00</v>
      </c>
      <c r="AA28" s="531" t="str">
        <f>IF(P28="M",Q28-P28,"0:00:00")</f>
        <v>0:00:00</v>
      </c>
      <c r="AB28" s="157">
        <f>SUM(Y28:Z28)</f>
        <v>0.32291666666666663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282">
        <v>46406</v>
      </c>
      <c r="B29" s="266">
        <v>0.32222222222222224</v>
      </c>
      <c r="C29" s="266">
        <v>0.54166666666666663</v>
      </c>
      <c r="D29" s="266">
        <v>0.5541666666666667</v>
      </c>
      <c r="E29" s="266">
        <v>0.65069444444444446</v>
      </c>
      <c r="F29" s="266">
        <v>0.66875000000000007</v>
      </c>
      <c r="G29" s="266"/>
      <c r="H29" s="266"/>
      <c r="I29" s="266">
        <v>0.73888888888888893</v>
      </c>
      <c r="J29" s="265">
        <f>IF((F29-E29)&lt;$F$1,$F$1,F29-E29)</f>
        <v>2.0833333333333329E-2</v>
      </c>
      <c r="K29" s="265">
        <f>IF((D29-C29)&lt;=$F$2,0,(D29-C29)-$F$2)</f>
        <v>0</v>
      </c>
      <c r="L29" s="319">
        <f t="shared" ref="L29:L32" si="0">(I29-B29)-K29-(H29-G29)-J29</f>
        <v>0.39583333333333337</v>
      </c>
      <c r="M29" s="405" t="s">
        <v>53</v>
      </c>
      <c r="N29" s="211"/>
      <c r="O29" s="212"/>
      <c r="P29" s="428">
        <f>MROUND(L29,"0:15")</f>
        <v>0.39583333333333331</v>
      </c>
      <c r="Q29" s="95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-5</v>
      </c>
      <c r="R29" s="95"/>
      <c r="S29" s="96"/>
      <c r="T29" s="422">
        <f>T28-L29</f>
        <v>2.6215277777777777</v>
      </c>
      <c r="U29" s="97"/>
      <c r="V29" s="206">
        <v>0</v>
      </c>
      <c r="W29" s="280">
        <v>45279</v>
      </c>
      <c r="X29" s="682"/>
      <c r="Y29" s="140" t="str">
        <f>IF(M29="O",P29 - AA29,"0:00:00")</f>
        <v>0:00:00</v>
      </c>
      <c r="Z29" s="140">
        <f>IF(M29="C",P29,"0:00:00")</f>
        <v>0.39583333333333331</v>
      </c>
      <c r="AA29" s="504" t="str">
        <f>IF(P29="M",Q29-P29,"0:00:00")</f>
        <v>0:00:00</v>
      </c>
      <c r="AB29" s="158">
        <f>SUM(Y29:Z29)</f>
        <v>0.39583333333333331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282">
        <v>46407</v>
      </c>
      <c r="B30" s="266">
        <v>0.30972222222222223</v>
      </c>
      <c r="C30" s="266">
        <v>0.49583333333333335</v>
      </c>
      <c r="D30" s="266">
        <v>0.50902777777777775</v>
      </c>
      <c r="E30" s="266"/>
      <c r="F30" s="266"/>
      <c r="G30" s="266"/>
      <c r="H30" s="266"/>
      <c r="I30" s="266">
        <v>0.62361111111111112</v>
      </c>
      <c r="J30" s="265">
        <v>0</v>
      </c>
      <c r="K30" s="265">
        <f>IF((D30-C30)&lt;=$F$2,0,(D30-C30)-$F$2)</f>
        <v>0</v>
      </c>
      <c r="L30" s="319">
        <f t="shared" si="0"/>
        <v>0.31388888888888888</v>
      </c>
      <c r="M30" s="405" t="s">
        <v>45</v>
      </c>
      <c r="N30" s="211"/>
      <c r="O30" s="212"/>
      <c r="P30" s="428">
        <f>MROUND(L30,"0:15")</f>
        <v>0.3125</v>
      </c>
      <c r="Q30" s="95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-3</v>
      </c>
      <c r="R30" s="95"/>
      <c r="S30" s="96"/>
      <c r="T30" s="422">
        <f>T29-L30</f>
        <v>2.3076388888888886</v>
      </c>
      <c r="U30" s="97"/>
      <c r="V30" s="206">
        <v>0.35416666666666669</v>
      </c>
      <c r="W30" s="280">
        <v>45280</v>
      </c>
      <c r="X30" s="682"/>
      <c r="Y30" s="140">
        <f>IF(M30="O",P30 - AA30,"0:00:00")</f>
        <v>0.3125</v>
      </c>
      <c r="Z30" s="140" t="str">
        <f>IF(M30="C",P30,"0:00:00")</f>
        <v>0:00:00</v>
      </c>
      <c r="AA30" s="504" t="str">
        <f>IF(P30="M",Q30-P30,"0:00:00")</f>
        <v>0:00:00</v>
      </c>
      <c r="AB30" s="158">
        <f>SUM(Y30:Z30)</f>
        <v>0.3125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282">
        <v>46408</v>
      </c>
      <c r="B31" s="266">
        <v>0.30902777777777779</v>
      </c>
      <c r="C31" s="266">
        <v>0.49027777777777781</v>
      </c>
      <c r="D31" s="266">
        <v>0.50416666666666665</v>
      </c>
      <c r="E31" s="266"/>
      <c r="F31" s="266"/>
      <c r="G31" s="266"/>
      <c r="H31" s="266"/>
      <c r="I31" s="266">
        <v>0.6381944444444444</v>
      </c>
      <c r="J31" s="265">
        <v>0</v>
      </c>
      <c r="K31" s="265">
        <f>IF((D31-C31)&lt;=$F$2,0,(D31-C31)-$F$2)</f>
        <v>0</v>
      </c>
      <c r="L31" s="319">
        <f t="shared" si="0"/>
        <v>0.32916666666666661</v>
      </c>
      <c r="M31" s="405" t="s">
        <v>45</v>
      </c>
      <c r="N31" s="211"/>
      <c r="O31" s="212"/>
      <c r="P31" s="428">
        <f>MROUND(L31,"0:15")</f>
        <v>0.33333333333333331</v>
      </c>
      <c r="Q31" s="95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6</v>
      </c>
      <c r="R31" s="95"/>
      <c r="S31" s="96"/>
      <c r="T31" s="422">
        <f>T30-L31</f>
        <v>1.978472222222222</v>
      </c>
      <c r="U31" s="97"/>
      <c r="V31" s="206">
        <v>0.41666666666666669</v>
      </c>
      <c r="W31" s="280">
        <v>45281</v>
      </c>
      <c r="X31" s="682"/>
      <c r="Y31" s="140">
        <f>IF(M31="O",P31 - AA31,"0:00:00")</f>
        <v>0.33333333333333331</v>
      </c>
      <c r="Z31" s="140" t="str">
        <f>IF(M31="C",P31,"0:00:00")</f>
        <v>0:00:00</v>
      </c>
      <c r="AA31" s="504" t="str">
        <f>IF(P31="M",Q31-P31,"0:00:00")</f>
        <v>0:00:00</v>
      </c>
      <c r="AB31" s="158">
        <f>SUM(Y31:Z31)</f>
        <v>0.33333333333333331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282">
        <v>46409</v>
      </c>
      <c r="B32" s="266">
        <v>0.30069444444444443</v>
      </c>
      <c r="C32" s="266"/>
      <c r="D32" s="266"/>
      <c r="E32" s="266"/>
      <c r="F32" s="266"/>
      <c r="G32" s="266"/>
      <c r="H32" s="266"/>
      <c r="I32" s="266">
        <v>0.6166666666666667</v>
      </c>
      <c r="J32" s="265">
        <v>0</v>
      </c>
      <c r="K32" s="265">
        <f>IF((D32-C32)&lt;=$F$2,0,(D32-C32)-$F$2)</f>
        <v>0</v>
      </c>
      <c r="L32" s="319">
        <f t="shared" si="0"/>
        <v>0.31597222222222227</v>
      </c>
      <c r="M32" s="405" t="s">
        <v>53</v>
      </c>
      <c r="N32" s="211"/>
      <c r="O32" s="212"/>
      <c r="P32" s="428">
        <f>MROUND(L32,"0:15")</f>
        <v>0.3125</v>
      </c>
      <c r="Q32" s="95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-4</v>
      </c>
      <c r="R32" s="95"/>
      <c r="S32" s="96"/>
      <c r="T32" s="422">
        <f>T31-L32</f>
        <v>1.6624999999999996</v>
      </c>
      <c r="U32" s="111"/>
      <c r="V32" s="78">
        <v>0.35416666666666669</v>
      </c>
      <c r="W32" s="280">
        <v>45282</v>
      </c>
      <c r="X32" s="682"/>
      <c r="Y32" s="152" t="str">
        <f>IF(M32="O",P32 - AA32,"0:00:00")</f>
        <v>0:00:00</v>
      </c>
      <c r="Z32" s="502">
        <f>IF(M32="C",P32,"0:00:00")</f>
        <v>0.3125</v>
      </c>
      <c r="AA32" s="143" t="str">
        <f>IF(P32="M",Q32-P32,"0:00:00")</f>
        <v>0:00:00</v>
      </c>
      <c r="AB32" s="159">
        <f>SUM(Y32:Z32)</f>
        <v>0.3125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1.6736111111111112</v>
      </c>
      <c r="M33" s="396"/>
      <c r="N33" s="128"/>
      <c r="O33" s="129"/>
      <c r="P33" s="706">
        <f>SUM(P28:P32)</f>
        <v>1.6770833333333333</v>
      </c>
      <c r="Q33" s="707"/>
      <c r="R33" s="707"/>
      <c r="S33" s="707"/>
      <c r="T33" s="708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395"/>
      <c r="N34" s="130"/>
      <c r="O34" s="131"/>
      <c r="P34" s="426"/>
      <c r="Q34" s="57">
        <f>Q32</f>
        <v>-4</v>
      </c>
      <c r="R34" s="57"/>
      <c r="S34" s="58"/>
      <c r="T34" s="541"/>
      <c r="U34" s="374"/>
      <c r="V34" s="35"/>
      <c r="W34" s="82"/>
      <c r="X34" s="148"/>
      <c r="Y34" s="241"/>
      <c r="Z34" s="242"/>
      <c r="AA34" s="162"/>
      <c r="AB34" s="163"/>
      <c r="AC34" s="146"/>
      <c r="AD34" s="149"/>
    </row>
    <row r="35" spans="1:30" ht="12.75" customHeight="1" thickBot="1" x14ac:dyDescent="0.25">
      <c r="A35" s="267">
        <v>46412</v>
      </c>
      <c r="B35" s="266">
        <v>0.3</v>
      </c>
      <c r="C35" s="266">
        <v>0.47430555555555554</v>
      </c>
      <c r="D35" s="266">
        <v>0.48194444444444445</v>
      </c>
      <c r="E35" s="266"/>
      <c r="F35" s="266"/>
      <c r="G35" s="266"/>
      <c r="H35" s="266"/>
      <c r="I35" s="266">
        <v>0.62222222222222223</v>
      </c>
      <c r="J35" s="265">
        <v>0</v>
      </c>
      <c r="K35" s="265">
        <f>IF((D35-C35)&lt;=$F$2,0,(D35-C35)-$F$2)</f>
        <v>0</v>
      </c>
      <c r="L35" s="319">
        <f>(I35-B35)-K35-(H35-G35)-J35</f>
        <v>0.32222222222222224</v>
      </c>
      <c r="M35" s="403" t="s">
        <v>45</v>
      </c>
      <c r="N35" s="211"/>
      <c r="O35" s="212"/>
      <c r="P35" s="428">
        <f t="shared" ref="P35:P39" si="1">MROUND(L35,"0:15")</f>
        <v>0.32291666666666663</v>
      </c>
      <c r="Q35" s="98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-5</v>
      </c>
      <c r="R35" s="98"/>
      <c r="S35" s="99"/>
      <c r="T35" s="436">
        <f>T32-L35</f>
        <v>1.3402777777777775</v>
      </c>
      <c r="U35" s="100"/>
      <c r="V35" s="151">
        <v>0.33333333333333331</v>
      </c>
      <c r="W35" s="280">
        <v>45285</v>
      </c>
      <c r="X35" s="682"/>
      <c r="Y35" s="344">
        <f>IF(M35="O",P35 - AA35,"0:00:00")</f>
        <v>0.32291666666666663</v>
      </c>
      <c r="Z35" s="344" t="str">
        <f t="shared" ref="Z35:Z39" si="2">IF(M35="C",P35,"0:00:00")</f>
        <v>0:00:00</v>
      </c>
      <c r="AA35" s="531" t="str">
        <f>IF(P35="M",Q35-P35,"0:00:00")</f>
        <v>0:00:00</v>
      </c>
      <c r="AB35" s="157">
        <f>SUM(Y35:Z35)</f>
        <v>0.32291666666666663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267">
        <v>46413</v>
      </c>
      <c r="B36" s="266">
        <v>0.32013888888888892</v>
      </c>
      <c r="C36" s="266">
        <v>0.51527777777777783</v>
      </c>
      <c r="D36" s="266">
        <v>0.52916666666666667</v>
      </c>
      <c r="E36" s="266">
        <v>0.63541666666666663</v>
      </c>
      <c r="F36" s="266">
        <v>0.65625</v>
      </c>
      <c r="G36" s="266"/>
      <c r="H36" s="266"/>
      <c r="I36" s="266">
        <v>0.7270833333333333</v>
      </c>
      <c r="J36" s="265">
        <f>IF((F36-E36)&lt;$F$1,$F$1,F36-E36)</f>
        <v>2.083333333333337E-2</v>
      </c>
      <c r="K36" s="265">
        <f>IF((D36-C36)&lt;=$F$2,0,(D36-C36)-$F$2)</f>
        <v>0</v>
      </c>
      <c r="L36" s="319">
        <f>(I36-B36)-K36-(H36-G36)-J36</f>
        <v>0.38611111111111102</v>
      </c>
      <c r="M36" s="405" t="s">
        <v>53</v>
      </c>
      <c r="N36" s="211"/>
      <c r="O36" s="212"/>
      <c r="P36" s="428">
        <f t="shared" si="1"/>
        <v>0.38541666666666663</v>
      </c>
      <c r="Q36" s="95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-4</v>
      </c>
      <c r="R36" s="95"/>
      <c r="S36" s="96"/>
      <c r="T36" s="422">
        <f>T35-L36</f>
        <v>0.95416666666666639</v>
      </c>
      <c r="U36" s="97"/>
      <c r="V36" s="77">
        <v>0.45833333333333331</v>
      </c>
      <c r="W36" s="280">
        <v>45286</v>
      </c>
      <c r="X36" s="682"/>
      <c r="Y36" s="140" t="str">
        <f>IF(M36="O",P36 - AA36,"0:00:00")</f>
        <v>0:00:00</v>
      </c>
      <c r="Z36" s="140">
        <f t="shared" si="2"/>
        <v>0.38541666666666663</v>
      </c>
      <c r="AA36" s="504" t="str">
        <f>IF(P36="M",Q36-P36,"0:00:00")</f>
        <v>0:00:00</v>
      </c>
      <c r="AB36" s="158">
        <f>SUM(Y36:Z36)</f>
        <v>0.38541666666666663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267">
        <v>46414</v>
      </c>
      <c r="B37" s="266">
        <v>0.30416666666666664</v>
      </c>
      <c r="C37" s="266">
        <v>0.51527777777777783</v>
      </c>
      <c r="D37" s="266">
        <v>0.52916666666666667</v>
      </c>
      <c r="E37" s="266"/>
      <c r="F37" s="266"/>
      <c r="G37" s="266"/>
      <c r="H37" s="266"/>
      <c r="I37" s="266">
        <v>0.6381944444444444</v>
      </c>
      <c r="J37" s="265">
        <v>0</v>
      </c>
      <c r="K37" s="265">
        <f>IF((D37-C37)&lt;=$F$2,0,(D37-C37)-$F$2)</f>
        <v>0</v>
      </c>
      <c r="L37" s="319">
        <f>(I37-B37)-K37-(H37-G37)-J37</f>
        <v>0.33402777777777776</v>
      </c>
      <c r="M37" s="405" t="s">
        <v>45</v>
      </c>
      <c r="N37" s="211"/>
      <c r="O37" s="212"/>
      <c r="P37" s="428">
        <f t="shared" si="1"/>
        <v>0.33333333333333331</v>
      </c>
      <c r="Q37" s="95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-3</v>
      </c>
      <c r="R37" s="95"/>
      <c r="S37" s="96"/>
      <c r="T37" s="422">
        <f>T36-L37</f>
        <v>0.62013888888888857</v>
      </c>
      <c r="U37" s="97"/>
      <c r="V37" s="77">
        <v>0.33333333333333331</v>
      </c>
      <c r="W37" s="280">
        <v>45287</v>
      </c>
      <c r="X37" s="682"/>
      <c r="Y37" s="140">
        <f>IF(M37="O",P37 - AA37,"0:00:00")</f>
        <v>0.33333333333333331</v>
      </c>
      <c r="Z37" s="140" t="str">
        <f t="shared" si="2"/>
        <v>0:00:00</v>
      </c>
      <c r="AA37" s="504" t="str">
        <f>IF(P37="M",Q37-P37,"0:00:00")</f>
        <v>0:00:00</v>
      </c>
      <c r="AB37" s="158">
        <f>SUM(Y37:Z37)</f>
        <v>0.33333333333333331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267">
        <v>46415</v>
      </c>
      <c r="B38" s="266">
        <v>0.3</v>
      </c>
      <c r="C38" s="266">
        <v>0.54097222222222219</v>
      </c>
      <c r="D38" s="266">
        <v>0.55486111111111114</v>
      </c>
      <c r="E38" s="266"/>
      <c r="F38" s="266"/>
      <c r="G38" s="266"/>
      <c r="H38" s="266"/>
      <c r="I38" s="266">
        <v>0.61527777777777781</v>
      </c>
      <c r="J38" s="265">
        <v>0</v>
      </c>
      <c r="K38" s="265">
        <f>IF((D38-C38)&lt;=$F$2,0,(D38-C38)-$F$2)</f>
        <v>6.2450045135165055E-17</v>
      </c>
      <c r="L38" s="319">
        <f>(I38-B38)-K38-(H38-G38)-J38</f>
        <v>0.31527777777777777</v>
      </c>
      <c r="M38" s="405" t="s">
        <v>53</v>
      </c>
      <c r="N38" s="213"/>
      <c r="O38" s="214"/>
      <c r="P38" s="428">
        <f t="shared" si="1"/>
        <v>0.3125</v>
      </c>
      <c r="Q38" s="101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1</v>
      </c>
      <c r="R38" s="101"/>
      <c r="S38" s="102"/>
      <c r="T38" s="442">
        <f>T37-L38</f>
        <v>0.30486111111111081</v>
      </c>
      <c r="U38" s="97"/>
      <c r="V38" s="77">
        <v>0.45833333333333331</v>
      </c>
      <c r="W38" s="280">
        <v>45288</v>
      </c>
      <c r="X38" s="682"/>
      <c r="Y38" s="140" t="str">
        <f>IF(M38="O",P38 - AA38,"0:00:00")</f>
        <v>0:00:00</v>
      </c>
      <c r="Z38" s="140">
        <f t="shared" si="2"/>
        <v>0.3125</v>
      </c>
      <c r="AA38" s="504" t="str">
        <f>IF(P38="M",Q38-P38,"0:00:00")</f>
        <v>0:00:00</v>
      </c>
      <c r="AB38" s="158">
        <f>SUM(Y38:Z38)</f>
        <v>0.3125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267">
        <v>46416</v>
      </c>
      <c r="B39" s="266">
        <v>0.31041666666666667</v>
      </c>
      <c r="C39" s="266"/>
      <c r="D39" s="266"/>
      <c r="E39" s="266"/>
      <c r="F39" s="266"/>
      <c r="G39" s="266"/>
      <c r="H39" s="266"/>
      <c r="I39" s="266">
        <v>0.6333333333333333</v>
      </c>
      <c r="J39" s="265">
        <v>0</v>
      </c>
      <c r="K39" s="265">
        <f>IF((D39-C39)&lt;=$F$2,0,(D39-C39)-$F$2)</f>
        <v>0</v>
      </c>
      <c r="L39" s="319">
        <f>(I39-B39)-K39-(H39-G39)-J39</f>
        <v>0.32291666666666663</v>
      </c>
      <c r="M39" s="404" t="s">
        <v>53</v>
      </c>
      <c r="N39" s="211"/>
      <c r="O39" s="212"/>
      <c r="P39" s="428">
        <f t="shared" si="1"/>
        <v>0.32291666666666663</v>
      </c>
      <c r="Q39" s="92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92"/>
      <c r="S39" s="93"/>
      <c r="T39" s="443">
        <f>T38-L39</f>
        <v>-1.8055555555555824E-2</v>
      </c>
      <c r="U39" s="94"/>
      <c r="V39" s="78"/>
      <c r="W39" s="280">
        <v>45289</v>
      </c>
      <c r="X39" s="709"/>
      <c r="Y39" s="343" t="str">
        <f>IF(M39="O",P39 - AA39,"0:00:00")</f>
        <v>0:00:00</v>
      </c>
      <c r="Z39" s="344">
        <f t="shared" si="2"/>
        <v>0.32291666666666663</v>
      </c>
      <c r="AA39" s="152" t="str">
        <f>IF(P39="M",Q39-P39,"0:00:00")</f>
        <v>0:00:00</v>
      </c>
      <c r="AB39" s="164">
        <f>SUM(Y39:Z39)</f>
        <v>0.32291666666666663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391">
        <f>SUM(L35:L39)</f>
        <v>1.6805555555555554</v>
      </c>
      <c r="M40" s="406"/>
      <c r="N40" s="132"/>
      <c r="O40" s="133"/>
      <c r="P40" s="450">
        <f>SUM(P35:P39)</f>
        <v>1.677083333333333</v>
      </c>
      <c r="Q40" s="63"/>
      <c r="R40" s="63"/>
      <c r="S40" s="63"/>
      <c r="T40" s="63"/>
      <c r="U40" s="387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284"/>
      <c r="B42" s="285"/>
      <c r="C42" s="285"/>
      <c r="D42" s="285"/>
      <c r="E42" s="285"/>
      <c r="F42" s="285"/>
      <c r="G42" s="285"/>
      <c r="H42" s="285"/>
      <c r="I42" s="285"/>
      <c r="J42" s="286"/>
      <c r="K42" s="286"/>
      <c r="L42" s="287"/>
      <c r="M42" s="67"/>
      <c r="N42" s="67"/>
      <c r="O42" s="67"/>
      <c r="X42" s="148"/>
      <c r="Y42" s="168">
        <f>SUM(Y7:Y11,Y14:Y18,Y21:Y25,Y28:Y32,Y35:Y39)</f>
        <v>3.2916666666666665</v>
      </c>
      <c r="Z42" s="169">
        <f>SUM(Z7:Z11,Z14:Z18,Z21:Z25,Z28:Z32,Z35:Z39)</f>
        <v>3.0624999999999996</v>
      </c>
      <c r="AA42" s="169">
        <f>SUM(AA7:AA11,AA14:AA18,AA21:AA25,AA28:AA32,AA35:AA39)</f>
        <v>0</v>
      </c>
      <c r="AB42" s="170">
        <f>SUM(AB7:AB11,AB14:AB18,AB21:AB25,AB28:AB32,AB35:AB39)</f>
        <v>6.354166666666667</v>
      </c>
      <c r="AC42" s="109"/>
      <c r="AD42" s="154"/>
    </row>
    <row r="43" spans="1:30" ht="13.5" thickBot="1" x14ac:dyDescent="0.25">
      <c r="A43" s="288" t="s">
        <v>24</v>
      </c>
      <c r="B43" s="289"/>
      <c r="C43" s="289"/>
      <c r="D43" s="289"/>
      <c r="E43" s="289"/>
      <c r="F43" s="289"/>
      <c r="G43" s="289"/>
      <c r="H43" s="289"/>
      <c r="I43" s="289"/>
      <c r="J43" s="290"/>
      <c r="K43" s="290"/>
      <c r="L43" s="291">
        <f>SUM(L33,L26,L19,L12,L40)</f>
        <v>6.3541666666666661</v>
      </c>
      <c r="M43" s="185"/>
      <c r="N43" s="185"/>
      <c r="O43" s="185"/>
      <c r="P43" s="83">
        <f>SUM(P12,P19,P26,P33,P40)</f>
        <v>6.3541666666666661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0.5180327868852459</v>
      </c>
      <c r="Z44" s="155">
        <f>Z42/C47</f>
        <v>0.4819672131147541</v>
      </c>
      <c r="AA44" s="156">
        <f>AA42/C47</f>
        <v>0</v>
      </c>
      <c r="AB44" s="180">
        <f>SUM(Y44:AA44)</f>
        <v>1</v>
      </c>
    </row>
    <row r="45" spans="1:30" ht="18.75" thickBot="1" x14ac:dyDescent="0.25">
      <c r="A45" s="292"/>
      <c r="B45" s="293"/>
      <c r="C45" s="293"/>
      <c r="D45" s="293"/>
      <c r="E45" s="293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18" t="s">
        <v>25</v>
      </c>
      <c r="B46" s="719"/>
      <c r="C46" s="294">
        <f>J1*J2</f>
        <v>6.333333333333333</v>
      </c>
      <c r="D46" s="294"/>
      <c r="E46" s="294"/>
      <c r="F46" s="295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96"/>
      <c r="B47" s="297" t="s">
        <v>26</v>
      </c>
      <c r="C47" s="298">
        <f>L43</f>
        <v>6.3541666666666661</v>
      </c>
      <c r="D47" s="298"/>
      <c r="E47" s="298"/>
      <c r="F47" s="299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96"/>
      <c r="B48" s="297" t="s">
        <v>27</v>
      </c>
      <c r="C48" s="294" t="str">
        <f>IF(C46&gt;C47,C46-C47,"00:00:00")</f>
        <v>00:00:00</v>
      </c>
      <c r="D48" s="298"/>
      <c r="E48" s="298"/>
      <c r="F48" s="300"/>
      <c r="K48" s="35"/>
      <c r="P48" s="215"/>
      <c r="Q48" s="216"/>
      <c r="R48" s="216"/>
      <c r="S48" s="216"/>
      <c r="T48" s="264"/>
      <c r="U48" s="216"/>
    </row>
    <row r="49" spans="1:30" ht="13.5" thickBot="1" x14ac:dyDescent="0.25">
      <c r="A49" s="296"/>
      <c r="B49" s="297" t="s">
        <v>28</v>
      </c>
      <c r="C49" s="294">
        <f>IF(C47&gt;C46,C47-C46,"00:00:00")</f>
        <v>2.0833333333333037E-2</v>
      </c>
      <c r="D49" s="301"/>
      <c r="E49" s="302" t="s">
        <v>29</v>
      </c>
      <c r="F49" s="295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292"/>
      <c r="B50" s="293"/>
      <c r="C50" s="293"/>
      <c r="D50" s="293"/>
      <c r="E50" s="293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96"/>
      <c r="B51" s="297" t="s">
        <v>30</v>
      </c>
      <c r="C51" s="68">
        <v>0</v>
      </c>
      <c r="D51" s="294"/>
      <c r="E51" s="303" t="s">
        <v>31</v>
      </c>
      <c r="F51" s="304" t="str">
        <f>IF(C51&gt;C52,C51-C52,"00:00:00")</f>
        <v>00:00:00</v>
      </c>
    </row>
    <row r="52" spans="1:30" ht="13.5" thickBot="1" x14ac:dyDescent="0.25">
      <c r="A52" s="296"/>
      <c r="B52" s="297" t="s">
        <v>32</v>
      </c>
      <c r="C52" s="68">
        <v>0</v>
      </c>
      <c r="D52" s="294"/>
      <c r="E52" s="303" t="s">
        <v>33</v>
      </c>
      <c r="F52" s="304" t="str">
        <f>IF(C52&gt;C51,C52-C51,"00:00:00")</f>
        <v>00:00:00</v>
      </c>
    </row>
    <row r="53" spans="1:30" ht="13.5" thickBot="1" x14ac:dyDescent="0.25">
      <c r="A53" s="712" t="s">
        <v>34</v>
      </c>
      <c r="B53" s="713"/>
      <c r="C53" s="305">
        <f>Horas!J3-J1</f>
        <v>0</v>
      </c>
      <c r="D53" s="714" t="s">
        <v>35</v>
      </c>
      <c r="E53" s="714"/>
      <c r="F53" s="306">
        <v>0</v>
      </c>
      <c r="P53" s="66"/>
      <c r="Q53" s="2"/>
      <c r="R53" s="2"/>
    </row>
    <row r="54" spans="1:30" ht="13.5" thickBot="1" x14ac:dyDescent="0.25">
      <c r="A54" s="715" t="s">
        <v>36</v>
      </c>
      <c r="B54" s="716"/>
      <c r="C54" s="307">
        <v>0</v>
      </c>
      <c r="D54" s="717" t="s">
        <v>37</v>
      </c>
      <c r="E54" s="717"/>
      <c r="F54" s="308">
        <v>0</v>
      </c>
      <c r="P54" s="66"/>
      <c r="Q54" s="2"/>
      <c r="R54" s="2"/>
    </row>
    <row r="55" spans="1:30" ht="13.5" thickBot="1" x14ac:dyDescent="0.25">
      <c r="A55" s="292"/>
      <c r="B55" s="293"/>
      <c r="C55" s="293"/>
      <c r="D55" s="293"/>
      <c r="E55" s="293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A54:B54"/>
    <mergeCell ref="D54:E54"/>
    <mergeCell ref="A46:B46"/>
    <mergeCell ref="Q46:Q47"/>
    <mergeCell ref="R46:R47"/>
    <mergeCell ref="S46:S47"/>
    <mergeCell ref="T46:T47"/>
    <mergeCell ref="A53:B53"/>
    <mergeCell ref="D53:E53"/>
    <mergeCell ref="P19:T19"/>
    <mergeCell ref="X21:X25"/>
    <mergeCell ref="P26:T26"/>
    <mergeCell ref="X28:X32"/>
    <mergeCell ref="P33:T33"/>
    <mergeCell ref="X35:X39"/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3"/>
  <dimension ref="A1:AE59"/>
  <sheetViews>
    <sheetView zoomScaleNormal="100" workbookViewId="0">
      <selection activeCell="F24" sqref="F23:F24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4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268" t="s">
        <v>0</v>
      </c>
      <c r="B1" s="683" t="s">
        <v>38</v>
      </c>
      <c r="C1" s="684"/>
      <c r="D1" s="685"/>
      <c r="E1" s="269" t="s">
        <v>1</v>
      </c>
      <c r="F1" s="270">
        <v>2.0833333333333329E-2</v>
      </c>
      <c r="I1" s="6" t="s">
        <v>2</v>
      </c>
      <c r="J1" s="271">
        <v>20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272" t="s">
        <v>3</v>
      </c>
      <c r="B2" s="690"/>
      <c r="C2" s="691"/>
      <c r="D2" s="692"/>
      <c r="E2" s="273" t="s">
        <v>4</v>
      </c>
      <c r="F2" s="274">
        <v>1.3888888888888888E-2</v>
      </c>
      <c r="I2" s="8" t="s">
        <v>5</v>
      </c>
      <c r="J2" s="275">
        <v>0.33333333333333331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276" t="s">
        <v>6</v>
      </c>
      <c r="B3" s="693">
        <v>46419</v>
      </c>
      <c r="C3" s="694"/>
      <c r="D3" s="695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07"/>
      <c r="M4" s="402"/>
      <c r="N4" s="696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277" t="s">
        <v>7</v>
      </c>
      <c r="B5" s="278" t="s">
        <v>8</v>
      </c>
      <c r="C5" s="278" t="s">
        <v>9</v>
      </c>
      <c r="D5" s="278" t="s">
        <v>10</v>
      </c>
      <c r="E5" s="278" t="s">
        <v>11</v>
      </c>
      <c r="F5" s="278" t="s">
        <v>12</v>
      </c>
      <c r="G5" s="278" t="s">
        <v>13</v>
      </c>
      <c r="H5" s="278" t="s">
        <v>14</v>
      </c>
      <c r="I5" s="278" t="s">
        <v>15</v>
      </c>
      <c r="J5" s="278" t="s">
        <v>16</v>
      </c>
      <c r="K5" s="278" t="s">
        <v>17</v>
      </c>
      <c r="L5" s="278" t="s">
        <v>18</v>
      </c>
      <c r="M5" s="554" t="s">
        <v>44</v>
      </c>
      <c r="N5" s="117" t="s">
        <v>12</v>
      </c>
      <c r="O5" s="118" t="s">
        <v>15</v>
      </c>
      <c r="T5" s="55">
        <f>C46</f>
        <v>6.6666666666666661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222"/>
      <c r="B6" s="223"/>
      <c r="C6" s="223"/>
      <c r="D6" s="223"/>
      <c r="E6" s="223"/>
      <c r="F6" s="223"/>
      <c r="G6" s="223"/>
      <c r="H6" s="223"/>
      <c r="I6" s="223"/>
      <c r="J6" s="224"/>
      <c r="K6" s="224"/>
      <c r="L6" s="451"/>
      <c r="M6" s="395"/>
      <c r="N6" s="122"/>
      <c r="O6" s="123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261" t="s">
        <v>49</v>
      </c>
      <c r="AA6" s="261" t="s">
        <v>50</v>
      </c>
      <c r="AB6" s="262" t="s">
        <v>51</v>
      </c>
      <c r="AC6" s="104"/>
      <c r="AD6" s="186"/>
    </row>
    <row r="7" spans="1:31" ht="12.75" customHeight="1" thickBot="1" x14ac:dyDescent="0.25">
      <c r="A7" s="225">
        <v>46419</v>
      </c>
      <c r="B7" s="266">
        <v>0.30972222222222223</v>
      </c>
      <c r="C7" s="266">
        <v>0.48402777777777778</v>
      </c>
      <c r="D7" s="266">
        <v>0.49722222222222223</v>
      </c>
      <c r="E7" s="266"/>
      <c r="F7" s="266"/>
      <c r="G7" s="266"/>
      <c r="H7" s="266"/>
      <c r="I7" s="266">
        <v>0.62361111111111112</v>
      </c>
      <c r="J7" s="309">
        <v>0</v>
      </c>
      <c r="K7" s="265">
        <f>IF((D7-C7)&lt;=$F$2,0,(D7-C7)-$F$2)</f>
        <v>0</v>
      </c>
      <c r="L7" s="319">
        <f>(I7-B7)-K7-(H7-G7)-J7</f>
        <v>0.31388888888888888</v>
      </c>
      <c r="M7" s="403" t="s">
        <v>45</v>
      </c>
      <c r="N7" s="211"/>
      <c r="O7" s="212"/>
      <c r="P7" s="70">
        <f>MROUND(L7,"0:15")</f>
        <v>0.3125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3</v>
      </c>
      <c r="R7" s="71"/>
      <c r="S7" s="72"/>
      <c r="T7" s="73">
        <f>T5-L7</f>
        <v>6.352777777777777</v>
      </c>
      <c r="U7" s="74"/>
      <c r="V7" s="76">
        <v>0</v>
      </c>
      <c r="W7" s="280"/>
      <c r="X7" s="701"/>
      <c r="Y7" s="580">
        <f>IF(M7="O",P7 - AA7,"0:00:00")</f>
        <v>0.3125</v>
      </c>
      <c r="Z7" s="557" t="str">
        <f>IF(M7="C",P7,"0:00:00")</f>
        <v>0:00:00</v>
      </c>
      <c r="AA7" s="557" t="str">
        <f>IF(P7="M",Q7-P7,"0:00:00")</f>
        <v>0:00:00</v>
      </c>
      <c r="AB7" s="558">
        <f>SUM(Y7:Z7)</f>
        <v>0.3125</v>
      </c>
      <c r="AC7" s="139">
        <v>0</v>
      </c>
      <c r="AD7" s="188"/>
      <c r="AE7" s="256"/>
    </row>
    <row r="8" spans="1:31" ht="12.75" customHeight="1" thickBot="1" x14ac:dyDescent="0.25">
      <c r="A8" s="225">
        <v>46420</v>
      </c>
      <c r="B8" s="266">
        <v>0.3125</v>
      </c>
      <c r="C8" s="266">
        <v>0.47916666666666669</v>
      </c>
      <c r="D8" s="266">
        <v>0.4916666666666667</v>
      </c>
      <c r="E8" s="266"/>
      <c r="F8" s="266"/>
      <c r="G8" s="266"/>
      <c r="H8" s="266"/>
      <c r="I8" s="266">
        <v>0.71875</v>
      </c>
      <c r="J8" s="265">
        <f>IF((F8-E8)&lt;$F$1,$F$1,F8-E8)</f>
        <v>2.0833333333333329E-2</v>
      </c>
      <c r="K8" s="265">
        <f>IF((D8-C8)&lt;=$F$2,0,(D8-C8)-$F$2)</f>
        <v>0</v>
      </c>
      <c r="L8" s="319">
        <f>(I8-B8)-K8-(H8-G8)-J8</f>
        <v>0.38541666666666669</v>
      </c>
      <c r="M8" s="405" t="s">
        <v>53</v>
      </c>
      <c r="N8" s="211"/>
      <c r="O8" s="212"/>
      <c r="P8" s="70">
        <f>MROUND(L8,"0:15")</f>
        <v>0.38541666666666663</v>
      </c>
      <c r="Q8" s="461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3</v>
      </c>
      <c r="R8" s="461"/>
      <c r="S8" s="462"/>
      <c r="T8" s="463">
        <f>T7-L8</f>
        <v>5.96736111111111</v>
      </c>
      <c r="U8" s="97"/>
      <c r="V8" s="77">
        <v>0</v>
      </c>
      <c r="W8" s="193"/>
      <c r="X8" s="689"/>
      <c r="Y8" s="580" t="str">
        <f>IF(M8="O",P8 - AA8,"0:00:00")</f>
        <v>0:00:00</v>
      </c>
      <c r="Z8" s="581">
        <f>IF(M8="C",P8,"0:00:00")</f>
        <v>0.38541666666666663</v>
      </c>
      <c r="AA8" s="562">
        <v>0</v>
      </c>
      <c r="AB8" s="563">
        <f>SUM(Y8:Z8)</f>
        <v>0.38541666666666663</v>
      </c>
      <c r="AC8" s="141">
        <v>0</v>
      </c>
      <c r="AD8" s="189"/>
    </row>
    <row r="9" spans="1:31" s="1" customFormat="1" ht="12.75" customHeight="1" thickBot="1" x14ac:dyDescent="0.25">
      <c r="A9" s="225">
        <v>46421</v>
      </c>
      <c r="B9" s="266">
        <v>0.30972222222222223</v>
      </c>
      <c r="C9" s="266">
        <v>0.47500000000000003</v>
      </c>
      <c r="D9" s="266">
        <v>0.48749999999999999</v>
      </c>
      <c r="E9" s="266"/>
      <c r="F9" s="266"/>
      <c r="G9" s="266"/>
      <c r="H9" s="266"/>
      <c r="I9" s="266">
        <v>0.62152777777777779</v>
      </c>
      <c r="J9" s="265">
        <v>0</v>
      </c>
      <c r="K9" s="265">
        <f>IF((D9-C9)&lt;=$F$2,0,(D9-C9)-$F$2)</f>
        <v>0</v>
      </c>
      <c r="L9" s="319">
        <f>(I9-B9)-K9-(H9-G9)-J9</f>
        <v>0.31180555555555556</v>
      </c>
      <c r="M9" s="405" t="s">
        <v>45</v>
      </c>
      <c r="N9" s="211"/>
      <c r="O9" s="212"/>
      <c r="P9" s="70">
        <f>MROUND(L9,"0:15")</f>
        <v>0.3125</v>
      </c>
      <c r="Q9" s="46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2</v>
      </c>
      <c r="R9" s="464"/>
      <c r="S9" s="465"/>
      <c r="T9" s="466">
        <f>T8-L9</f>
        <v>5.6555555555555541</v>
      </c>
      <c r="U9" s="564"/>
      <c r="V9" s="182">
        <v>0</v>
      </c>
      <c r="W9" s="281"/>
      <c r="X9" s="689"/>
      <c r="Y9" s="567">
        <f>IF(M9="O",P9 - AA9,"0:00:00")</f>
        <v>0.3125</v>
      </c>
      <c r="Z9" s="567" t="str">
        <f>IF(M9="C",P9,"0:00:00")</f>
        <v>0:00:00</v>
      </c>
      <c r="AA9" s="577" t="str">
        <f>IF(P9="M",Q9-P9,"0:00:00")</f>
        <v>0:00:00</v>
      </c>
      <c r="AB9" s="568">
        <f>SUM(Y9:Z9)</f>
        <v>0.3125</v>
      </c>
      <c r="AC9" s="195">
        <v>0</v>
      </c>
      <c r="AD9" s="196" t="b">
        <f>V9=AC9</f>
        <v>1</v>
      </c>
    </row>
    <row r="10" spans="1:31" ht="12.75" customHeight="1" thickBot="1" x14ac:dyDescent="0.25">
      <c r="A10" s="225">
        <v>46422</v>
      </c>
      <c r="B10" s="266">
        <v>0.30972222222222223</v>
      </c>
      <c r="C10" s="266">
        <v>0.47083333333333338</v>
      </c>
      <c r="D10" s="266">
        <v>0.48402777777777778</v>
      </c>
      <c r="E10" s="266"/>
      <c r="F10" s="266"/>
      <c r="G10" s="266"/>
      <c r="H10" s="266"/>
      <c r="I10" s="266">
        <v>0.62152777777777779</v>
      </c>
      <c r="J10" s="265">
        <v>0</v>
      </c>
      <c r="K10" s="265">
        <f>IF((D10-C10)&lt;=$F$2,0,(D10-C10)-$F$2)</f>
        <v>0</v>
      </c>
      <c r="L10" s="319">
        <f>(I10-B10)-K10-(H10-G10)-J10</f>
        <v>0.31180555555555556</v>
      </c>
      <c r="M10" s="405" t="s">
        <v>45</v>
      </c>
      <c r="N10" s="213"/>
      <c r="O10" s="214"/>
      <c r="P10" s="70">
        <f>MROUND(L10,"0:15")</f>
        <v>0.3125</v>
      </c>
      <c r="Q10" s="46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1</v>
      </c>
      <c r="R10" s="464"/>
      <c r="S10" s="465"/>
      <c r="T10" s="466">
        <f>T9-L10</f>
        <v>5.3437499999999982</v>
      </c>
      <c r="U10" s="564"/>
      <c r="V10" s="182">
        <v>0.45833333333333331</v>
      </c>
      <c r="W10" s="281"/>
      <c r="X10" s="689"/>
      <c r="Y10" s="562">
        <f>IF(M10="O",P10 - AA10,"0:00:00")</f>
        <v>0.3125</v>
      </c>
      <c r="Z10" s="562" t="str">
        <f>IF(M10="C",P10,"0:00:00")</f>
        <v>0:00:00</v>
      </c>
      <c r="AA10" s="578" t="str">
        <f>IF(P10="M",Q10-P10,"0:00:00")</f>
        <v>0:00:00</v>
      </c>
      <c r="AB10" s="563">
        <f>SUM(Y10:Z10)</f>
        <v>0.3125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225">
        <v>46423</v>
      </c>
      <c r="B11" s="266">
        <v>0.3125</v>
      </c>
      <c r="C11" s="266">
        <v>0.46388888888888885</v>
      </c>
      <c r="D11" s="266">
        <v>0.4777777777777778</v>
      </c>
      <c r="E11" s="266"/>
      <c r="F11" s="266"/>
      <c r="G11" s="266"/>
      <c r="H11" s="266"/>
      <c r="I11" s="266">
        <v>0.65625</v>
      </c>
      <c r="J11" s="265">
        <v>0</v>
      </c>
      <c r="K11" s="265">
        <f>IF((D11-C11)&lt;=$F$2,0,(D11-C11)-$F$2)</f>
        <v>6.2450045135165055E-17</v>
      </c>
      <c r="L11" s="319">
        <f>(I11-B11)-K11-(H11-G11)-J11</f>
        <v>0.34374999999999994</v>
      </c>
      <c r="M11" s="543" t="s">
        <v>53</v>
      </c>
      <c r="N11" s="211"/>
      <c r="O11" s="212"/>
      <c r="P11" s="70">
        <f>MROUND(L11,"0:15")</f>
        <v>0.34375</v>
      </c>
      <c r="Q11" s="510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1</v>
      </c>
      <c r="R11" s="510"/>
      <c r="S11" s="511"/>
      <c r="T11" s="512">
        <f>T10-L11</f>
        <v>4.9999999999999982</v>
      </c>
      <c r="U11" s="569"/>
      <c r="V11" s="182">
        <v>0.29166666666666669</v>
      </c>
      <c r="W11" s="281">
        <v>45261</v>
      </c>
      <c r="X11" s="702"/>
      <c r="Y11" s="152" t="str">
        <f>IF(M11="O",P11 - AA11,"0:00:00")</f>
        <v>0:00:00</v>
      </c>
      <c r="Z11" s="152">
        <f>IF(M11="C",P11,"0:00:00")</f>
        <v>0.34375</v>
      </c>
      <c r="AA11" s="505" t="str">
        <f>IF(P11="M",Q11-P11,"0:00:00")</f>
        <v>0:00:00</v>
      </c>
      <c r="AB11" s="159">
        <f>SUM(Y11:Z11)</f>
        <v>0.34375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1.6666666666666665</v>
      </c>
      <c r="M12" s="544"/>
      <c r="N12" s="122"/>
      <c r="O12" s="123"/>
      <c r="P12" s="720">
        <f>SUM(P7:P11)</f>
        <v>1.6666666666666665</v>
      </c>
      <c r="Q12" s="721"/>
      <c r="R12" s="721"/>
      <c r="S12" s="721"/>
      <c r="T12" s="722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545"/>
      <c r="N13" s="122"/>
      <c r="O13" s="123"/>
      <c r="P13" s="337"/>
      <c r="Q13" s="470">
        <f>Q11</f>
        <v>1</v>
      </c>
      <c r="R13" s="470"/>
      <c r="S13" s="471"/>
      <c r="T13" s="472"/>
      <c r="U13" s="374"/>
      <c r="V13" s="35"/>
      <c r="W13" s="69"/>
      <c r="X13" s="148"/>
      <c r="Y13" s="241"/>
      <c r="Z13" s="242"/>
      <c r="AA13" s="162"/>
      <c r="AB13" s="163"/>
      <c r="AC13" s="146"/>
      <c r="AD13" s="149"/>
    </row>
    <row r="14" spans="1:31" s="1" customFormat="1" ht="12" thickBot="1" x14ac:dyDescent="0.25">
      <c r="A14" s="282">
        <v>46426</v>
      </c>
      <c r="B14" s="266">
        <v>0.30972222222222223</v>
      </c>
      <c r="C14" s="266">
        <v>0.48402777777777778</v>
      </c>
      <c r="D14" s="266">
        <v>0.49722222222222223</v>
      </c>
      <c r="E14" s="266"/>
      <c r="F14" s="266"/>
      <c r="G14" s="266"/>
      <c r="H14" s="266"/>
      <c r="I14" s="266">
        <v>0.62361111111111112</v>
      </c>
      <c r="J14" s="265">
        <v>0</v>
      </c>
      <c r="K14" s="265">
        <f>IF((D14-C14)&lt;=$F$2,0,(D14-C14)-$F$2)</f>
        <v>0</v>
      </c>
      <c r="L14" s="319">
        <f>(I14-B14)-K14-(H14-G14)-J14</f>
        <v>0.31388888888888888</v>
      </c>
      <c r="M14" s="403" t="s">
        <v>45</v>
      </c>
      <c r="N14" s="211"/>
      <c r="O14" s="212"/>
      <c r="P14" s="70">
        <f>MROUND(L14,"0:15")</f>
        <v>0.3125</v>
      </c>
      <c r="Q14" s="473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3</v>
      </c>
      <c r="R14" s="473"/>
      <c r="S14" s="474"/>
      <c r="T14" s="475">
        <f>T11-L14</f>
        <v>4.6861111111111091</v>
      </c>
      <c r="U14" s="571"/>
      <c r="V14" s="205">
        <v>0.30208333333333331</v>
      </c>
      <c r="W14" s="283">
        <v>45264</v>
      </c>
      <c r="X14" s="682"/>
      <c r="Y14" s="344">
        <f>IF(M14="O",P14 - AA14,"0:00:00")</f>
        <v>0.3125</v>
      </c>
      <c r="Z14" s="344" t="str">
        <f>IF(M14="C",P14,"0:00:00")</f>
        <v>0:00:00</v>
      </c>
      <c r="AA14" s="534" t="str">
        <f>IF(P14="M",Q14-P14,"0:00:00")</f>
        <v>0:00:00</v>
      </c>
      <c r="AB14" s="535">
        <f>SUM(Y14:Z14)</f>
        <v>0.3125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282">
        <v>46427</v>
      </c>
      <c r="B15" s="266">
        <v>0.3125</v>
      </c>
      <c r="C15" s="266">
        <v>0.47916666666666669</v>
      </c>
      <c r="D15" s="266">
        <v>0.4916666666666667</v>
      </c>
      <c r="E15" s="266"/>
      <c r="F15" s="266"/>
      <c r="G15" s="266"/>
      <c r="H15" s="266"/>
      <c r="I15" s="266">
        <v>0.72916666666666663</v>
      </c>
      <c r="J15" s="265">
        <f>IF((F15-E15)&lt;$F$1,$F$1,F15-E15)</f>
        <v>2.0833333333333329E-2</v>
      </c>
      <c r="K15" s="265">
        <f>IF((D15-C15)&lt;=$F$2,0,(D15-C15)-$F$2)</f>
        <v>0</v>
      </c>
      <c r="L15" s="319">
        <f>(I15-B15)-K15-(H15-G15)-J15</f>
        <v>0.39583333333333331</v>
      </c>
      <c r="M15" s="405" t="s">
        <v>53</v>
      </c>
      <c r="N15" s="211"/>
      <c r="O15" s="212"/>
      <c r="P15" s="70">
        <f>MROUND(L15,"0:15")</f>
        <v>0.39583333333333331</v>
      </c>
      <c r="Q15" s="46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3</v>
      </c>
      <c r="R15" s="464"/>
      <c r="S15" s="465"/>
      <c r="T15" s="466">
        <f>T14-L15</f>
        <v>4.2902777777777761</v>
      </c>
      <c r="U15" s="564"/>
      <c r="V15" s="206">
        <v>0.25</v>
      </c>
      <c r="W15" s="283">
        <v>45265</v>
      </c>
      <c r="X15" s="682"/>
      <c r="Y15" s="140" t="str">
        <f>IF(M15="O",P15 - AA15,"0:00:00")</f>
        <v>0:00:00</v>
      </c>
      <c r="Z15" s="140">
        <f>IF(M15="C",P15,"0:00:00")</f>
        <v>0.39583333333333331</v>
      </c>
      <c r="AA15" s="140" t="str">
        <f>IF(P15="M",Q15-P15,"0:00:00")</f>
        <v>0:00:00</v>
      </c>
      <c r="AB15" s="140">
        <f>SUM(Y15:Z15)</f>
        <v>0.39583333333333331</v>
      </c>
      <c r="AC15" s="141">
        <v>0.25</v>
      </c>
      <c r="AD15" s="189" t="b">
        <f>V15=AC15</f>
        <v>1</v>
      </c>
    </row>
    <row r="16" spans="1:31" s="1" customFormat="1" ht="12.75" customHeight="1" thickBot="1" x14ac:dyDescent="0.25">
      <c r="A16" s="282">
        <v>46428</v>
      </c>
      <c r="B16" s="266">
        <v>0.30972222222222223</v>
      </c>
      <c r="C16" s="266">
        <v>0.47500000000000003</v>
      </c>
      <c r="D16" s="266">
        <v>0.48749999999999999</v>
      </c>
      <c r="E16" s="266"/>
      <c r="F16" s="266"/>
      <c r="G16" s="266"/>
      <c r="H16" s="266"/>
      <c r="I16" s="266">
        <v>0.62152777777777779</v>
      </c>
      <c r="J16" s="265">
        <v>0</v>
      </c>
      <c r="K16" s="265">
        <f>IF((D16-C16)&lt;=$F$2,0,(D16-C16)-$F$2)</f>
        <v>0</v>
      </c>
      <c r="L16" s="319">
        <f>(I16-B16)-K16-(H16-G16)-J16</f>
        <v>0.31180555555555556</v>
      </c>
      <c r="M16" s="405" t="s">
        <v>45</v>
      </c>
      <c r="N16" s="211"/>
      <c r="O16" s="212"/>
      <c r="P16" s="70">
        <f>MROUND(L16,"0:15")</f>
        <v>0.3125</v>
      </c>
      <c r="Q16" s="461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2</v>
      </c>
      <c r="R16" s="461"/>
      <c r="S16" s="462"/>
      <c r="T16" s="476">
        <f>T15-P16</f>
        <v>3.9777777777777761</v>
      </c>
      <c r="U16" s="572"/>
      <c r="V16" s="206">
        <v>0.23958333333333334</v>
      </c>
      <c r="W16" s="283">
        <v>45266</v>
      </c>
      <c r="X16" s="682"/>
      <c r="Y16" s="140">
        <f>IF(M16="O",P16 - AA16,"0:00:00")</f>
        <v>0.3125</v>
      </c>
      <c r="Z16" s="140" t="str">
        <f>IF(M16="C",P16,"0:00:00")</f>
        <v>0:00:00</v>
      </c>
      <c r="AA16" s="140" t="str">
        <f>IF(P16="M",Q16-P16,"0:00:00")</f>
        <v>0:00:00</v>
      </c>
      <c r="AB16" s="140">
        <f>SUM(Y16:Z16)</f>
        <v>0.3125</v>
      </c>
      <c r="AC16" s="141">
        <v>0.23958333333333334</v>
      </c>
      <c r="AD16" s="189" t="b">
        <f>V16=AC16</f>
        <v>1</v>
      </c>
    </row>
    <row r="17" spans="1:30" ht="12.75" customHeight="1" thickBot="1" x14ac:dyDescent="0.25">
      <c r="A17" s="282">
        <v>46429</v>
      </c>
      <c r="B17" s="266">
        <v>0.30972222222222223</v>
      </c>
      <c r="C17" s="266">
        <v>0.47083333333333338</v>
      </c>
      <c r="D17" s="266">
        <v>0.48402777777777778</v>
      </c>
      <c r="E17" s="266"/>
      <c r="F17" s="266"/>
      <c r="G17" s="266"/>
      <c r="H17" s="266"/>
      <c r="I17" s="266">
        <v>0.62152777777777779</v>
      </c>
      <c r="J17" s="265">
        <v>0</v>
      </c>
      <c r="K17" s="265">
        <f>IF((D17-C17)&lt;=$F$2,0,(D17-C17)-$F$2)</f>
        <v>0</v>
      </c>
      <c r="L17" s="319">
        <f>(I17-B17)-K17-(H17-G17)-J17</f>
        <v>0.31180555555555556</v>
      </c>
      <c r="M17" s="405" t="s">
        <v>45</v>
      </c>
      <c r="N17" s="213"/>
      <c r="O17" s="214"/>
      <c r="P17" s="70">
        <f>MROUND(L17,"0:15")</f>
        <v>0.3125</v>
      </c>
      <c r="Q17" s="46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1</v>
      </c>
      <c r="R17" s="464"/>
      <c r="S17" s="465"/>
      <c r="T17" s="477">
        <f>T16-P17</f>
        <v>3.6652777777777761</v>
      </c>
      <c r="U17" s="574"/>
      <c r="V17" s="206">
        <v>0</v>
      </c>
      <c r="W17" s="283">
        <v>45267</v>
      </c>
      <c r="X17" s="682"/>
      <c r="Y17" s="140">
        <f>IF(M17="O",P17 - AA17,"0:00:00")</f>
        <v>0.3125</v>
      </c>
      <c r="Z17" s="140" t="str">
        <f>IF(M17="C",P17,"0:00:00")</f>
        <v>0:00:00</v>
      </c>
      <c r="AA17" s="537" t="str">
        <f>IF(P17="M",Q17-P17,"0:00:00")</f>
        <v>0:00:00</v>
      </c>
      <c r="AB17" s="344">
        <f>SUM(Y17:Z17)</f>
        <v>0.3125</v>
      </c>
      <c r="AC17" s="195">
        <v>0</v>
      </c>
      <c r="AD17" s="196" t="b">
        <f>V17=AC17</f>
        <v>1</v>
      </c>
    </row>
    <row r="18" spans="1:30" ht="13.5" thickBot="1" x14ac:dyDescent="0.25">
      <c r="A18" s="282">
        <v>46430</v>
      </c>
      <c r="B18" s="266">
        <v>0.3125</v>
      </c>
      <c r="C18" s="266">
        <v>0.46388888888888885</v>
      </c>
      <c r="D18" s="266">
        <v>0.4777777777777778</v>
      </c>
      <c r="E18" s="266"/>
      <c r="F18" s="266"/>
      <c r="G18" s="266"/>
      <c r="H18" s="266"/>
      <c r="I18" s="266">
        <v>0.65625</v>
      </c>
      <c r="J18" s="265">
        <v>0</v>
      </c>
      <c r="K18" s="265">
        <f>IF((D18-C18)&lt;=$F$2,0,(D18-C18)-$F$2)</f>
        <v>6.2450045135165055E-17</v>
      </c>
      <c r="L18" s="319">
        <f>(I18-B18)-K18-(H18-G18)-J18</f>
        <v>0.34374999999999994</v>
      </c>
      <c r="M18" s="543" t="s">
        <v>53</v>
      </c>
      <c r="N18" s="211"/>
      <c r="O18" s="212"/>
      <c r="P18" s="70">
        <f>MROUND(L18,"0:15")</f>
        <v>0.34375</v>
      </c>
      <c r="Q18" s="478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1</v>
      </c>
      <c r="R18" s="478"/>
      <c r="S18" s="479"/>
      <c r="T18" s="480">
        <f>T17-L18</f>
        <v>3.3215277777777761</v>
      </c>
      <c r="U18" s="573"/>
      <c r="V18" s="207">
        <v>0</v>
      </c>
      <c r="W18" s="283">
        <v>45268</v>
      </c>
      <c r="X18" s="682"/>
      <c r="Y18" s="364" t="str">
        <f>IF(M18="O",P18 - AA18,"0:00:00")</f>
        <v>0:00:00</v>
      </c>
      <c r="Z18" s="365">
        <f>IF(M18="C",P18,"0:00:00")</f>
        <v>0.34375</v>
      </c>
      <c r="AA18" s="143" t="str">
        <f>IF(P18="M",Q18-P18,"0:00:00")</f>
        <v>0:00:00</v>
      </c>
      <c r="AB18" s="159">
        <f>SUM(Y18:Z18)</f>
        <v>0.34375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1.677083333333333</v>
      </c>
      <c r="M19" s="544"/>
      <c r="N19" s="122"/>
      <c r="O19" s="123"/>
      <c r="P19" s="723">
        <f>SUM(P14:P18)</f>
        <v>1.6770833333333333</v>
      </c>
      <c r="Q19" s="724"/>
      <c r="R19" s="724"/>
      <c r="S19" s="724"/>
      <c r="T19" s="725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124"/>
      <c r="N20" s="122"/>
      <c r="O20" s="123"/>
      <c r="P20" s="340"/>
      <c r="Q20" s="481">
        <f>Q18</f>
        <v>1</v>
      </c>
      <c r="R20" s="481"/>
      <c r="S20" s="482"/>
      <c r="T20" s="483"/>
      <c r="U20" s="385"/>
      <c r="V20" s="35"/>
      <c r="W20" s="79"/>
      <c r="X20" s="148"/>
      <c r="Y20" s="241"/>
      <c r="Z20" s="242"/>
      <c r="AA20" s="162"/>
      <c r="AB20" s="163"/>
      <c r="AC20" s="146"/>
      <c r="AD20" s="149"/>
    </row>
    <row r="21" spans="1:30" ht="12.75" customHeight="1" thickBot="1" x14ac:dyDescent="0.25">
      <c r="A21" s="282">
        <v>46433</v>
      </c>
      <c r="B21" s="266">
        <v>0.3</v>
      </c>
      <c r="C21" s="266">
        <v>0.47430555555555554</v>
      </c>
      <c r="D21" s="266">
        <v>0.48194444444444445</v>
      </c>
      <c r="E21" s="266"/>
      <c r="F21" s="266"/>
      <c r="G21" s="266"/>
      <c r="H21" s="266"/>
      <c r="I21" s="266">
        <v>0.61944444444444446</v>
      </c>
      <c r="J21" s="265">
        <v>0</v>
      </c>
      <c r="K21" s="265">
        <f>IF((D21-C21)&lt;=$F$2,0,(D21-C21)-$F$2)</f>
        <v>0</v>
      </c>
      <c r="L21" s="319">
        <f>(I21-B21)-K21-(H21-G21)-J21</f>
        <v>0.31944444444444448</v>
      </c>
      <c r="M21" s="403" t="s">
        <v>45</v>
      </c>
      <c r="N21" s="211"/>
      <c r="O21" s="212"/>
      <c r="P21" s="70">
        <f>MROUND(L21,"0:15")</f>
        <v>0.32291666666666663</v>
      </c>
      <c r="Q21" s="484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-4</v>
      </c>
      <c r="R21" s="484"/>
      <c r="S21" s="485"/>
      <c r="T21" s="486">
        <f>T18-L21</f>
        <v>3.0020833333333314</v>
      </c>
      <c r="U21" s="583"/>
      <c r="V21" s="205">
        <v>0.36458333333333331</v>
      </c>
      <c r="W21" s="280">
        <v>45271</v>
      </c>
      <c r="X21" s="682"/>
      <c r="Y21" s="344">
        <f>IF(M21="O",P21 - AA21,"0:00:00")</f>
        <v>0.32291666666666663</v>
      </c>
      <c r="Z21" s="344" t="str">
        <f>IF(M21="C",P21,"0:00:00")</f>
        <v>0:00:00</v>
      </c>
      <c r="AA21" s="531" t="str">
        <f>IF(P21="M",Q21-P21,"0:00:00")</f>
        <v>0:00:00</v>
      </c>
      <c r="AB21" s="157">
        <f>SUM(Y21:Z21)</f>
        <v>0.32291666666666663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82">
        <v>46434</v>
      </c>
      <c r="B22" s="266">
        <v>0.33124999999999999</v>
      </c>
      <c r="C22" s="266">
        <v>0.51527777777777783</v>
      </c>
      <c r="D22" s="266">
        <v>0.52916666666666667</v>
      </c>
      <c r="E22" s="266">
        <v>0.63541666666666663</v>
      </c>
      <c r="F22" s="266">
        <v>0.65625</v>
      </c>
      <c r="G22" s="266"/>
      <c r="H22" s="266"/>
      <c r="I22" s="266">
        <v>0.7270833333333333</v>
      </c>
      <c r="J22" s="265">
        <f>IF((F22-E22)&lt;$F$1,$F$1,F22-E22)</f>
        <v>2.083333333333337E-2</v>
      </c>
      <c r="K22" s="265">
        <f>IF((D22-C22)&lt;=$F$2,0,(D22-C22)-$F$2)</f>
        <v>0</v>
      </c>
      <c r="L22" s="319">
        <f>(I22-B22)-K22-(H22-G22)-J22</f>
        <v>0.37499999999999994</v>
      </c>
      <c r="M22" s="405" t="s">
        <v>53</v>
      </c>
      <c r="N22" s="315"/>
      <c r="O22" s="212"/>
      <c r="P22" s="70">
        <f>MROUND(L22,"0:15")</f>
        <v>0.375</v>
      </c>
      <c r="Q22" s="461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-4</v>
      </c>
      <c r="R22" s="461"/>
      <c r="S22" s="462"/>
      <c r="T22" s="463">
        <f>T21-L22</f>
        <v>2.6270833333333314</v>
      </c>
      <c r="U22" s="559"/>
      <c r="V22" s="206">
        <v>0.36458333333333331</v>
      </c>
      <c r="W22" s="280">
        <v>45272</v>
      </c>
      <c r="X22" s="682"/>
      <c r="Y22" s="140" t="str">
        <f>IF(M22="O",P22 - AA22,"0:00:00")</f>
        <v>0:00:00</v>
      </c>
      <c r="Z22" s="140">
        <f>IF(M22="C",P22,"0:00:00")</f>
        <v>0.375</v>
      </c>
      <c r="AA22" s="504" t="str">
        <f>IF(P22="M",Q22-P22,"0:00:00")</f>
        <v>0:00:00</v>
      </c>
      <c r="AB22" s="158">
        <f>SUM(Y22:Z22)</f>
        <v>0.375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82">
        <v>46435</v>
      </c>
      <c r="B23" s="266">
        <v>0.30416666666666664</v>
      </c>
      <c r="C23" s="266">
        <v>0.51527777777777783</v>
      </c>
      <c r="D23" s="266">
        <v>0.52916666666666667</v>
      </c>
      <c r="E23" s="266"/>
      <c r="F23" s="266"/>
      <c r="G23" s="266"/>
      <c r="H23" s="266"/>
      <c r="I23" s="266">
        <v>0.6381944444444444</v>
      </c>
      <c r="J23" s="265">
        <v>0</v>
      </c>
      <c r="K23" s="265">
        <f>IF((D23-C23)&lt;=$F$2,0,(D23-C23)-$F$2)</f>
        <v>0</v>
      </c>
      <c r="L23" s="319">
        <f>(I23-B23)-K23-(H23-G23)-J23</f>
        <v>0.33402777777777776</v>
      </c>
      <c r="M23" s="405" t="s">
        <v>45</v>
      </c>
      <c r="N23" s="211"/>
      <c r="O23" s="212"/>
      <c r="P23" s="70">
        <f>MROUND(L23,"0:15")</f>
        <v>0.33333333333333331</v>
      </c>
      <c r="Q23" s="461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-3</v>
      </c>
      <c r="R23" s="461"/>
      <c r="S23" s="462"/>
      <c r="T23" s="463">
        <f>T22-L23</f>
        <v>2.2930555555555538</v>
      </c>
      <c r="U23" s="559"/>
      <c r="V23" s="206">
        <v>0.45833333333333331</v>
      </c>
      <c r="W23" s="280">
        <v>45273</v>
      </c>
      <c r="X23" s="682"/>
      <c r="Y23" s="140">
        <f>IF(M23="O",P23 - AA23,"0:00:00")</f>
        <v>0.33333333333333331</v>
      </c>
      <c r="Z23" s="140" t="str">
        <f>IF(M23="C",P23,"0:00:00")</f>
        <v>0:00:00</v>
      </c>
      <c r="AA23" s="504" t="str">
        <f>IF(P23="M",Q23-P23,"0:00:00")</f>
        <v>0:00:00</v>
      </c>
      <c r="AB23" s="158">
        <f>SUM(Y23:Z23)</f>
        <v>0.33333333333333331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82">
        <v>46436</v>
      </c>
      <c r="B24" s="266">
        <v>0.3</v>
      </c>
      <c r="C24" s="266">
        <v>0.54097222222222219</v>
      </c>
      <c r="D24" s="266">
        <v>0.55486111111111114</v>
      </c>
      <c r="E24" s="266"/>
      <c r="F24" s="266"/>
      <c r="G24" s="266"/>
      <c r="H24" s="266"/>
      <c r="I24" s="266">
        <v>0.61527777777777781</v>
      </c>
      <c r="J24" s="265">
        <v>0</v>
      </c>
      <c r="K24" s="265">
        <f>IF((D24-C24)&lt;=$F$2,0,(D24-C24)-$F$2)</f>
        <v>6.2450045135165055E-17</v>
      </c>
      <c r="L24" s="319">
        <f>(I24-B24)-K24-(H24-G24)-J24</f>
        <v>0.31527777777777777</v>
      </c>
      <c r="M24" s="405" t="s">
        <v>53</v>
      </c>
      <c r="N24" s="213"/>
      <c r="O24" s="214"/>
      <c r="P24" s="70">
        <f>MROUND(L24,"0:15")</f>
        <v>0.3125</v>
      </c>
      <c r="Q24" s="487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1</v>
      </c>
      <c r="R24" s="487"/>
      <c r="S24" s="488"/>
      <c r="T24" s="489">
        <f>T23-L24</f>
        <v>1.9777777777777761</v>
      </c>
      <c r="U24" s="559"/>
      <c r="V24" s="182">
        <v>0.32291666666666669</v>
      </c>
      <c r="W24" s="280">
        <v>45274</v>
      </c>
      <c r="X24" s="682"/>
      <c r="Y24" s="140" t="str">
        <f>IF(M24="O",P24 - AA24,"0:00:00")</f>
        <v>0:00:00</v>
      </c>
      <c r="Z24" s="140">
        <f>IF(M24="C",P24,"0:00:00")</f>
        <v>0.3125</v>
      </c>
      <c r="AA24" s="504" t="str">
        <f>IF(P24="M",Q24-P24,"0:00:00")</f>
        <v>0:00:00</v>
      </c>
      <c r="AB24" s="158">
        <f>SUM(Y24:Z24)</f>
        <v>0.3125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282">
        <v>46437</v>
      </c>
      <c r="B25" s="266">
        <v>0.31041666666666667</v>
      </c>
      <c r="C25" s="266"/>
      <c r="D25" s="266"/>
      <c r="E25" s="266"/>
      <c r="F25" s="266"/>
      <c r="G25" s="266"/>
      <c r="H25" s="266"/>
      <c r="I25" s="266">
        <v>0.6333333333333333</v>
      </c>
      <c r="J25" s="265">
        <v>0</v>
      </c>
      <c r="K25" s="265">
        <f>IF((D25-C25)&lt;=$F$2,0,(D25-C25)-$F$2)</f>
        <v>0</v>
      </c>
      <c r="L25" s="319">
        <f>(I25-B25)-K25-(H25-G25)-J25</f>
        <v>0.32291666666666663</v>
      </c>
      <c r="M25" s="543" t="s">
        <v>53</v>
      </c>
      <c r="N25" s="211"/>
      <c r="O25" s="212"/>
      <c r="P25" s="70">
        <f>MROUND(L25,"0:15")</f>
        <v>0.32291666666666663</v>
      </c>
      <c r="Q25" s="490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1</v>
      </c>
      <c r="R25" s="490"/>
      <c r="S25" s="491"/>
      <c r="T25" s="492">
        <f>T24-L25</f>
        <v>1.6548611111111096</v>
      </c>
      <c r="U25" s="575"/>
      <c r="V25" s="182">
        <v>0.36458333333333331</v>
      </c>
      <c r="W25" s="280">
        <v>45275</v>
      </c>
      <c r="X25" s="682"/>
      <c r="Y25" s="364" t="str">
        <f>IF(M25="O",P25 - AA25,"0:00:00")</f>
        <v>0:00:00</v>
      </c>
      <c r="Z25" s="365">
        <f>IF(M25="C",P25,"0:00:00")</f>
        <v>0.32291666666666663</v>
      </c>
      <c r="AA25" s="143" t="str">
        <f>IF(P25="M",Q25-P25,"0:00:00")</f>
        <v>0:00:00</v>
      </c>
      <c r="AB25" s="159">
        <f>SUM(Y25:Z25)</f>
        <v>0.32291666666666663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1.6666666666666665</v>
      </c>
      <c r="M26" s="546"/>
      <c r="N26" s="320"/>
      <c r="O26" s="321"/>
      <c r="P26" s="723">
        <f>SUM(P21:P25)</f>
        <v>1.6666666666666665</v>
      </c>
      <c r="Q26" s="724"/>
      <c r="R26" s="724"/>
      <c r="S26" s="724"/>
      <c r="T26" s="725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6.5" thickTop="1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547"/>
      <c r="N27" s="122"/>
      <c r="O27" s="123"/>
      <c r="P27" s="337"/>
      <c r="Q27" s="470">
        <f>Q25</f>
        <v>1</v>
      </c>
      <c r="R27" s="470"/>
      <c r="S27" s="471"/>
      <c r="T27" s="472"/>
      <c r="U27" s="374"/>
      <c r="V27" s="35"/>
      <c r="W27" s="81"/>
      <c r="X27" s="148"/>
      <c r="Y27" s="241"/>
      <c r="Z27" s="242"/>
      <c r="AA27" s="162"/>
      <c r="AB27" s="163"/>
      <c r="AC27" s="146"/>
      <c r="AD27" s="149"/>
    </row>
    <row r="28" spans="1:30" ht="15.75" customHeight="1" thickBot="1" x14ac:dyDescent="0.25">
      <c r="A28" s="282">
        <v>46440</v>
      </c>
      <c r="B28" s="266">
        <v>0.30972222222222223</v>
      </c>
      <c r="C28" s="266">
        <v>0.48402777777777778</v>
      </c>
      <c r="D28" s="266">
        <v>0.49722222222222223</v>
      </c>
      <c r="E28" s="266"/>
      <c r="F28" s="266"/>
      <c r="G28" s="266"/>
      <c r="H28" s="266"/>
      <c r="I28" s="266">
        <v>0.62361111111111112</v>
      </c>
      <c r="J28" s="265">
        <v>0</v>
      </c>
      <c r="K28" s="265">
        <f>IF((D28-C28)&lt;=$F$2,0,(D28-C28)-$F$2)</f>
        <v>0</v>
      </c>
      <c r="L28" s="319">
        <f>(I28-B28)-K28-(H28-G28)-J28</f>
        <v>0.31388888888888888</v>
      </c>
      <c r="M28" s="403" t="s">
        <v>45</v>
      </c>
      <c r="N28" s="211"/>
      <c r="O28" s="212"/>
      <c r="P28" s="70">
        <f>MROUND(L28,"0:15")</f>
        <v>0.3125</v>
      </c>
      <c r="Q28" s="484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3</v>
      </c>
      <c r="R28" s="484"/>
      <c r="S28" s="485"/>
      <c r="T28" s="486">
        <f>T25-L28</f>
        <v>1.3409722222222207</v>
      </c>
      <c r="U28" s="100"/>
      <c r="V28" s="205">
        <v>0.30208333333333331</v>
      </c>
      <c r="W28" s="280">
        <v>45278</v>
      </c>
      <c r="X28" s="682"/>
      <c r="Y28" s="344">
        <f>IF(M28="O",P28 - AA28,"0:00:00")</f>
        <v>0.3125</v>
      </c>
      <c r="Z28" s="344" t="str">
        <f>IF(M28="C",P28,"0:00:00")</f>
        <v>0:00:00</v>
      </c>
      <c r="AA28" s="531" t="str">
        <f>IF(P28="M",Q28-P28,"0:00:00")</f>
        <v>0:00:00</v>
      </c>
      <c r="AB28" s="157">
        <f>SUM(Y28:Z28)</f>
        <v>0.3125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282">
        <v>46441</v>
      </c>
      <c r="B29" s="266">
        <v>0.3125</v>
      </c>
      <c r="C29" s="266">
        <v>0.47916666666666669</v>
      </c>
      <c r="D29" s="266">
        <v>0.4916666666666667</v>
      </c>
      <c r="E29" s="266"/>
      <c r="F29" s="266"/>
      <c r="G29" s="266"/>
      <c r="H29" s="266"/>
      <c r="I29" s="266">
        <v>0.72916666666666663</v>
      </c>
      <c r="J29" s="265">
        <f>IF((F29-E29)&lt;$F$1,$F$1,F29-E29)</f>
        <v>2.0833333333333329E-2</v>
      </c>
      <c r="K29" s="265">
        <f>IF((D29-C29)&lt;=$F$2,0,(D29-C29)-$F$2)</f>
        <v>0</v>
      </c>
      <c r="L29" s="319">
        <f t="shared" ref="L29:L32" si="0">(I29-B29)-K29-(H29-G29)-J29</f>
        <v>0.39583333333333331</v>
      </c>
      <c r="M29" s="405" t="s">
        <v>53</v>
      </c>
      <c r="N29" s="211"/>
      <c r="O29" s="212"/>
      <c r="P29" s="70">
        <f>MROUND(L29,"0:15")</f>
        <v>0.39583333333333331</v>
      </c>
      <c r="Q29" s="461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3</v>
      </c>
      <c r="R29" s="461"/>
      <c r="S29" s="462"/>
      <c r="T29" s="463">
        <f>T28-L29</f>
        <v>0.94513888888888742</v>
      </c>
      <c r="U29" s="97"/>
      <c r="V29" s="206">
        <v>0</v>
      </c>
      <c r="W29" s="280">
        <v>45279</v>
      </c>
      <c r="X29" s="682"/>
      <c r="Y29" s="140" t="str">
        <f>IF(M29="O",P29 - AA29,"0:00:00")</f>
        <v>0:00:00</v>
      </c>
      <c r="Z29" s="140">
        <f>IF(M29="C",P29,"0:00:00")</f>
        <v>0.39583333333333331</v>
      </c>
      <c r="AA29" s="504" t="str">
        <f>IF(P29="M",Q29-P29,"0:00:00")</f>
        <v>0:00:00</v>
      </c>
      <c r="AB29" s="158">
        <f>SUM(Y29:Z29)</f>
        <v>0.39583333333333331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282">
        <v>46442</v>
      </c>
      <c r="B30" s="266">
        <v>0.30972222222222223</v>
      </c>
      <c r="C30" s="266">
        <v>0.47500000000000003</v>
      </c>
      <c r="D30" s="266">
        <v>0.48749999999999999</v>
      </c>
      <c r="E30" s="266"/>
      <c r="F30" s="266"/>
      <c r="G30" s="266"/>
      <c r="H30" s="266"/>
      <c r="I30" s="266">
        <v>0.62152777777777779</v>
      </c>
      <c r="J30" s="265">
        <v>0</v>
      </c>
      <c r="K30" s="265">
        <f>IF((D30-C30)&lt;=$F$2,0,(D30-C30)-$F$2)</f>
        <v>0</v>
      </c>
      <c r="L30" s="319">
        <f t="shared" si="0"/>
        <v>0.31180555555555556</v>
      </c>
      <c r="M30" s="405" t="s">
        <v>45</v>
      </c>
      <c r="N30" s="211"/>
      <c r="O30" s="212"/>
      <c r="P30" s="70">
        <f>MROUND(L30,"0:15")</f>
        <v>0.3125</v>
      </c>
      <c r="Q30" s="461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2</v>
      </c>
      <c r="R30" s="461"/>
      <c r="S30" s="462"/>
      <c r="T30" s="463">
        <f>T29-L30</f>
        <v>0.63333333333333186</v>
      </c>
      <c r="U30" s="97"/>
      <c r="V30" s="206">
        <v>0.35416666666666669</v>
      </c>
      <c r="W30" s="280">
        <v>45280</v>
      </c>
      <c r="X30" s="682"/>
      <c r="Y30" s="140">
        <f>IF(M30="O",P30 - AA30,"0:00:00")</f>
        <v>0.3125</v>
      </c>
      <c r="Z30" s="140" t="str">
        <f>IF(M30="C",P30,"0:00:00")</f>
        <v>0:00:00</v>
      </c>
      <c r="AA30" s="504" t="str">
        <f>IF(P30="M",Q30-P30,"0:00:00")</f>
        <v>0:00:00</v>
      </c>
      <c r="AB30" s="158">
        <f>SUM(Y30:Z30)</f>
        <v>0.3125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282">
        <v>46443</v>
      </c>
      <c r="B31" s="608">
        <v>0.30972222222222223</v>
      </c>
      <c r="C31" s="608">
        <v>0.47083333333333338</v>
      </c>
      <c r="D31" s="608">
        <v>0.48402777777777778</v>
      </c>
      <c r="E31" s="608"/>
      <c r="F31" s="608"/>
      <c r="G31" s="608"/>
      <c r="H31" s="608"/>
      <c r="I31" s="608">
        <v>0.62152777777777779</v>
      </c>
      <c r="J31" s="609">
        <v>0</v>
      </c>
      <c r="K31" s="609">
        <f>IF((D31-C31)&lt;=$F$2,0,(D31-C31)-$F$2)</f>
        <v>0</v>
      </c>
      <c r="L31" s="610">
        <f t="shared" si="0"/>
        <v>0.31180555555555556</v>
      </c>
      <c r="M31" s="405" t="s">
        <v>45</v>
      </c>
      <c r="N31" s="213"/>
      <c r="O31" s="214"/>
      <c r="P31" s="70">
        <f>MROUND(L31,"0:15")</f>
        <v>0.3125</v>
      </c>
      <c r="Q31" s="461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1</v>
      </c>
      <c r="R31" s="461"/>
      <c r="S31" s="462"/>
      <c r="T31" s="463">
        <f>T30-L31</f>
        <v>0.3215277777777763</v>
      </c>
      <c r="U31" s="97"/>
      <c r="V31" s="206">
        <v>0.41666666666666669</v>
      </c>
      <c r="W31" s="280">
        <v>45281</v>
      </c>
      <c r="X31" s="682"/>
      <c r="Y31" s="140">
        <f>IF(M31="O",P31 - AA31,"0:00:00")</f>
        <v>0.3125</v>
      </c>
      <c r="Z31" s="140" t="str">
        <f>IF(M31="C",P31,"0:00:00")</f>
        <v>0:00:00</v>
      </c>
      <c r="AA31" s="504" t="str">
        <f>IF(P31="M",Q31-P31,"0:00:00")</f>
        <v>0:00:00</v>
      </c>
      <c r="AB31" s="158">
        <f>SUM(Y31:Z31)</f>
        <v>0.3125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282">
        <v>46444</v>
      </c>
      <c r="B32" s="266">
        <v>0.3125</v>
      </c>
      <c r="C32" s="266">
        <v>0.46388888888888885</v>
      </c>
      <c r="D32" s="266">
        <v>0.4777777777777778</v>
      </c>
      <c r="E32" s="266"/>
      <c r="F32" s="266"/>
      <c r="G32" s="266"/>
      <c r="H32" s="266"/>
      <c r="I32" s="266">
        <v>0.65625</v>
      </c>
      <c r="J32" s="265">
        <v>0</v>
      </c>
      <c r="K32" s="265">
        <f>IF((D32-C32)&lt;=$F$2,0,(D32-C32)-$F$2)</f>
        <v>6.2450045135165055E-17</v>
      </c>
      <c r="L32" s="319">
        <f t="shared" si="0"/>
        <v>0.34374999999999994</v>
      </c>
      <c r="M32" s="543" t="s">
        <v>53</v>
      </c>
      <c r="N32" s="211"/>
      <c r="O32" s="212"/>
      <c r="P32" s="70">
        <f>MROUND(L32,"0:15")</f>
        <v>0.34375</v>
      </c>
      <c r="Q32" s="461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1</v>
      </c>
      <c r="R32" s="461"/>
      <c r="S32" s="462"/>
      <c r="T32" s="463">
        <f>T31-L32</f>
        <v>-2.2222222222223642E-2</v>
      </c>
      <c r="U32" s="111"/>
      <c r="V32" s="78">
        <v>0.35416666666666669</v>
      </c>
      <c r="W32" s="280">
        <v>45282</v>
      </c>
      <c r="X32" s="682"/>
      <c r="Y32" s="364" t="str">
        <f>IF(M32="O",P32 - AA32,"0:00:00")</f>
        <v>0:00:00</v>
      </c>
      <c r="Z32" s="365">
        <f>IF(M32="C",P32,"0:00:00")</f>
        <v>0.34375</v>
      </c>
      <c r="AA32" s="143" t="str">
        <f>IF(P32="M",Q32-P32,"0:00:00")</f>
        <v>0:00:00</v>
      </c>
      <c r="AB32" s="159">
        <f>SUM(Y32:Z32)</f>
        <v>0.34375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1.677083333333333</v>
      </c>
      <c r="M33" s="544"/>
      <c r="N33" s="320"/>
      <c r="O33" s="321"/>
      <c r="P33" s="723">
        <f>SUM(P28:P32)</f>
        <v>1.6770833333333333</v>
      </c>
      <c r="Q33" s="724"/>
      <c r="R33" s="724"/>
      <c r="S33" s="724"/>
      <c r="T33" s="725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584"/>
      <c r="N34" s="549"/>
      <c r="O34" s="119"/>
      <c r="P34" s="337"/>
      <c r="Q34" s="470">
        <f>Q32</f>
        <v>1</v>
      </c>
      <c r="R34" s="470"/>
      <c r="S34" s="471"/>
      <c r="T34" s="472"/>
      <c r="U34" s="374"/>
      <c r="V34" s="35"/>
      <c r="W34" s="82"/>
      <c r="X34" s="148"/>
      <c r="Y34" s="241"/>
      <c r="Z34" s="242"/>
      <c r="AA34" s="162"/>
      <c r="AB34" s="163"/>
      <c r="AC34" s="146"/>
      <c r="AD34" s="149"/>
    </row>
    <row r="35" spans="1:30" ht="12.75" customHeight="1" thickBot="1" x14ac:dyDescent="0.25">
      <c r="A35" s="592"/>
      <c r="B35" s="588"/>
      <c r="C35" s="588"/>
      <c r="D35" s="588"/>
      <c r="E35" s="588"/>
      <c r="F35" s="588"/>
      <c r="G35" s="588"/>
      <c r="H35" s="588"/>
      <c r="I35" s="588"/>
      <c r="J35" s="588"/>
      <c r="K35" s="588"/>
      <c r="L35" s="590"/>
      <c r="M35" s="585"/>
      <c r="N35" s="315"/>
      <c r="O35" s="212"/>
      <c r="P35" s="70">
        <f>MROUND(L35,"0:15")</f>
        <v>0</v>
      </c>
      <c r="Q35" s="484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1</v>
      </c>
      <c r="R35" s="484"/>
      <c r="S35" s="485"/>
      <c r="T35" s="486">
        <f>T32-L35</f>
        <v>-2.2222222222223642E-2</v>
      </c>
      <c r="U35" s="100"/>
      <c r="V35" s="151">
        <v>0.33333333333333331</v>
      </c>
      <c r="W35" s="280">
        <v>45285</v>
      </c>
      <c r="X35" s="682"/>
      <c r="Y35" s="344" t="str">
        <f>IF(M35="O",P35 - AA35,"0:00:00")</f>
        <v>0:00:00</v>
      </c>
      <c r="Z35" s="344" t="str">
        <f t="shared" ref="Z35:Z39" si="1">IF(M35="C",P35,"0:00:00")</f>
        <v>0:00:00</v>
      </c>
      <c r="AA35" s="531" t="str">
        <f>IF(P35="M",Q35-P35,"0:00:00")</f>
        <v>0:00:00</v>
      </c>
      <c r="AB35" s="157">
        <f>SUM(Y35:Z35)</f>
        <v>0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592"/>
      <c r="B36" s="588"/>
      <c r="C36" s="588"/>
      <c r="D36" s="588"/>
      <c r="E36" s="588"/>
      <c r="F36" s="588"/>
      <c r="G36" s="588"/>
      <c r="H36" s="588"/>
      <c r="I36" s="588"/>
      <c r="J36" s="588"/>
      <c r="K36" s="588"/>
      <c r="L36" s="590"/>
      <c r="M36" s="585"/>
      <c r="N36" s="315"/>
      <c r="O36" s="212"/>
      <c r="P36" s="70">
        <f>TIME(MID(TEXT(L36,"hh:mm:ss"),1,2), IF(ABS((MID(TEXT(L36,"hh:mm:ss"),4,2)+Q35)-FLOOR((MID(TEXT(L36,"hh:mm:ss"),4,2)+Q35),15))&gt;=ABS((MID(TEXT(L36,"hh:mm:ss"),4,2)+Q35)-CEILING((MID(TEXT(L36,"hh:mm:ss"),4,2)+Q35),15)),CEILING((MID(TEXT(L36,"hh:mm:ss"),4,2)+Q35),15),FLOOR((MID(TEXT(L36,"hh:mm:ss"),4,2)+Q35),15)), MID(TEXT(L36,"hh:mm:ss"),7,2))</f>
        <v>0</v>
      </c>
      <c r="Q36" s="461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1</v>
      </c>
      <c r="R36" s="461"/>
      <c r="S36" s="462"/>
      <c r="T36" s="463">
        <f>T35-L36</f>
        <v>-2.2222222222223642E-2</v>
      </c>
      <c r="U36" s="97"/>
      <c r="V36" s="77">
        <v>0.45833333333333331</v>
      </c>
      <c r="W36" s="280">
        <v>45286</v>
      </c>
      <c r="X36" s="682"/>
      <c r="Y36" s="140" t="str">
        <f>IF(M36="O",P36 - AA36,"0:00:00")</f>
        <v>0:00:00</v>
      </c>
      <c r="Z36" s="140" t="str">
        <f t="shared" si="1"/>
        <v>0:00:00</v>
      </c>
      <c r="AA36" s="504" t="str">
        <f>IF(P36="M",Q36-P36,"0:00:00")</f>
        <v>0:00:00</v>
      </c>
      <c r="AB36" s="158">
        <f>SUM(Y36:Z36)</f>
        <v>0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592"/>
      <c r="B37" s="588"/>
      <c r="C37" s="588"/>
      <c r="D37" s="588"/>
      <c r="E37" s="600"/>
      <c r="F37" s="600"/>
      <c r="G37" s="588"/>
      <c r="H37" s="588"/>
      <c r="I37" s="588"/>
      <c r="J37" s="588"/>
      <c r="K37" s="588"/>
      <c r="L37" s="590"/>
      <c r="M37" s="598"/>
      <c r="N37" s="315"/>
      <c r="O37" s="212"/>
      <c r="P37" s="70">
        <f>TIME(MID(TEXT(L37,"hh:mm:ss"),1,2), IF(ABS((MID(TEXT(L37,"hh:mm:ss"),4,2)+Q36)-FLOOR((MID(TEXT(L37,"hh:mm:ss"),4,2)+Q36),15))&gt;=ABS((MID(TEXT(L37,"hh:mm:ss"),4,2)+Q36)-CEILING((MID(TEXT(L37,"hh:mm:ss"),4,2)+Q36),15)),CEILING((MID(TEXT(L37,"hh:mm:ss"),4,2)+Q36),15),FLOOR((MID(TEXT(L37,"hh:mm:ss"),4,2)+Q36),15)), MID(TEXT(L37,"hh:mm:ss"),7,2))</f>
        <v>0</v>
      </c>
      <c r="Q37" s="461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1</v>
      </c>
      <c r="R37" s="461"/>
      <c r="S37" s="462"/>
      <c r="T37" s="463">
        <f>T36-L37</f>
        <v>-2.2222222222223642E-2</v>
      </c>
      <c r="U37" s="97"/>
      <c r="V37" s="77">
        <v>0.33333333333333331</v>
      </c>
      <c r="W37" s="280">
        <v>45287</v>
      </c>
      <c r="X37" s="682"/>
      <c r="Y37" s="140" t="str">
        <f>IF(M37="O",P37 - AA37,"0:00:00")</f>
        <v>0:00:00</v>
      </c>
      <c r="Z37" s="140" t="str">
        <f t="shared" si="1"/>
        <v>0:00:00</v>
      </c>
      <c r="AA37" s="504" t="str">
        <f>IF(P37="M",Q37-P37,"0:00:00")</f>
        <v>0:00:00</v>
      </c>
      <c r="AB37" s="158">
        <f>SUM(Y37:Z37)</f>
        <v>0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592"/>
      <c r="B38" s="588"/>
      <c r="C38" s="588"/>
      <c r="D38" s="588"/>
      <c r="E38" s="588"/>
      <c r="F38" s="588"/>
      <c r="G38" s="588"/>
      <c r="H38" s="588"/>
      <c r="I38" s="588"/>
      <c r="J38" s="588"/>
      <c r="K38" s="588"/>
      <c r="L38" s="590"/>
      <c r="M38" s="585"/>
      <c r="N38" s="316"/>
      <c r="O38" s="214"/>
      <c r="P38" s="70">
        <f>TIME(MID(TEXT(L38,"hh:mm:ss"),1,2), IF(ABS((MID(TEXT(L38,"hh:mm:ss"),4,2)+Q37)-FLOOR((MID(TEXT(L38,"hh:mm:ss"),4,2)+Q37),15))&gt;=ABS((MID(TEXT(L38,"hh:mm:ss"),4,2)+Q37)-CEILING((MID(TEXT(L38,"hh:mm:ss"),4,2)+Q37),15)),CEILING((MID(TEXT(L38,"hh:mm:ss"),4,2)+Q37),15),FLOOR((MID(TEXT(L38,"hh:mm:ss"),4,2)+Q37),15)), MID(TEXT(L38,"hh:mm:ss"),7,2))</f>
        <v>0</v>
      </c>
      <c r="Q38" s="493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1</v>
      </c>
      <c r="R38" s="493"/>
      <c r="S38" s="494"/>
      <c r="T38" s="495">
        <f>T37-L38</f>
        <v>-2.2222222222223642E-2</v>
      </c>
      <c r="U38" s="97"/>
      <c r="V38" s="77">
        <v>0.45833333333333331</v>
      </c>
      <c r="W38" s="280">
        <v>45288</v>
      </c>
      <c r="X38" s="682"/>
      <c r="Y38" s="140" t="str">
        <f>IF(M38="O",P38 - AA38,"0:00:00")</f>
        <v>0:00:00</v>
      </c>
      <c r="Z38" s="140" t="str">
        <f t="shared" si="1"/>
        <v>0:00:00</v>
      </c>
      <c r="AA38" s="504" t="str">
        <f>IF(P38="M",Q38-P38,"0:00:00")</f>
        <v>0:00:00</v>
      </c>
      <c r="AB38" s="158">
        <f>SUM(Y38:Z38)</f>
        <v>0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592"/>
      <c r="B39" s="588"/>
      <c r="C39" s="588"/>
      <c r="D39" s="588"/>
      <c r="E39" s="588"/>
      <c r="F39" s="588"/>
      <c r="G39" s="588"/>
      <c r="H39" s="588"/>
      <c r="I39" s="588"/>
      <c r="J39" s="588"/>
      <c r="K39" s="588"/>
      <c r="L39" s="590"/>
      <c r="M39" s="585"/>
      <c r="N39" s="315"/>
      <c r="O39" s="212"/>
      <c r="P39" s="70">
        <f>TIME(MID(TEXT(L39,"hh:mm:ss"),1,2), IF(ABS((MID(TEXT(L39,"hh:mm:ss"),4,2)+Q38)-FLOOR((MID(TEXT(L39,"hh:mm:ss"),4,2)+Q38),15))&gt;=ABS((MID(TEXT(L39,"hh:mm:ss"),4,2)+Q38)-CEILING((MID(TEXT(L39,"hh:mm:ss"),4,2)+Q38),15)),CEILING((MID(TEXT(L39,"hh:mm:ss"),4,2)+Q38),15),FLOOR((MID(TEXT(L39,"hh:mm:ss"),4,2)+Q38),15)), MID(TEXT(L39,"hh:mm:ss"),7,2))</f>
        <v>0</v>
      </c>
      <c r="Q39" s="496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496"/>
      <c r="S39" s="497"/>
      <c r="T39" s="498">
        <f>T38-L39</f>
        <v>-2.2222222222223642E-2</v>
      </c>
      <c r="U39" s="94"/>
      <c r="V39" s="78"/>
      <c r="W39" s="280">
        <v>45289</v>
      </c>
      <c r="X39" s="709"/>
      <c r="Y39" s="501" t="str">
        <f>IF(M39="O",P39 - AA39,"0:00:00")</f>
        <v>0:00:00</v>
      </c>
      <c r="Z39" s="140" t="str">
        <f t="shared" si="1"/>
        <v>0:00:00</v>
      </c>
      <c r="AA39" s="379" t="str">
        <f>IF(P39="M",Q39-P39,"0:00:00")</f>
        <v>0:00:00</v>
      </c>
      <c r="AB39" s="164">
        <f>SUM(Y39:Z39)</f>
        <v>0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391">
        <f>SUM(L35:L39)</f>
        <v>0</v>
      </c>
      <c r="M40" s="456"/>
      <c r="N40" s="132"/>
      <c r="O40" s="133"/>
      <c r="P40" s="513">
        <f>SUM(P35:P39)</f>
        <v>0</v>
      </c>
      <c r="Q40" s="499"/>
      <c r="R40" s="499"/>
      <c r="S40" s="499"/>
      <c r="T40" s="499"/>
      <c r="U40" s="387"/>
      <c r="V40" s="172"/>
      <c r="W40" s="145" t="s">
        <v>23</v>
      </c>
      <c r="X40" s="153"/>
      <c r="Y40" s="165"/>
      <c r="Z40" s="242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284"/>
      <c r="B42" s="285"/>
      <c r="C42" s="285"/>
      <c r="D42" s="285"/>
      <c r="E42" s="285"/>
      <c r="F42" s="285"/>
      <c r="G42" s="285"/>
      <c r="H42" s="285"/>
      <c r="I42" s="285"/>
      <c r="J42" s="286"/>
      <c r="K42" s="286"/>
      <c r="L42" s="287"/>
      <c r="M42" s="67"/>
      <c r="N42" s="67"/>
      <c r="O42" s="67"/>
      <c r="X42" s="148"/>
      <c r="Y42" s="168">
        <f>SUM(Y7:Y11,Y14:Y18,Y21:Y25,Y28:Y32,Y35:Y39)</f>
        <v>3.46875</v>
      </c>
      <c r="Z42" s="169">
        <f>SUM(Z7:Z11,Z14:Z18,Z21:Z25,Z28:Z32,Z35:Z39)</f>
        <v>3.21875</v>
      </c>
      <c r="AA42" s="169">
        <f>SUM(AA7:AA11,AA14:AA18,AA21:AA25,AA28:AA32,AA35:AA39)</f>
        <v>0</v>
      </c>
      <c r="AB42" s="170">
        <f>SUM(AB7:AB11,AB14:AB18,AB21:AB25,AB28:AB32,AB35:AB39)</f>
        <v>6.6874999999999991</v>
      </c>
      <c r="AC42" s="109"/>
      <c r="AD42" s="154"/>
    </row>
    <row r="43" spans="1:30" ht="13.5" thickBot="1" x14ac:dyDescent="0.25">
      <c r="A43" s="288" t="s">
        <v>24</v>
      </c>
      <c r="B43" s="289"/>
      <c r="C43" s="289"/>
      <c r="D43" s="289"/>
      <c r="E43" s="289"/>
      <c r="F43" s="289"/>
      <c r="G43" s="289"/>
      <c r="H43" s="289"/>
      <c r="I43" s="289"/>
      <c r="J43" s="290"/>
      <c r="K43" s="290"/>
      <c r="L43" s="291">
        <f>SUM(L33,L26,L19,L12,L40)</f>
        <v>6.6874999999999982</v>
      </c>
      <c r="M43" s="185"/>
      <c r="N43" s="185"/>
      <c r="O43" s="185"/>
      <c r="P43" s="83">
        <f>SUM(P12,P19,P26,P33,P40)</f>
        <v>6.6874999999999991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0.51869158878504684</v>
      </c>
      <c r="Z44" s="155">
        <f>Z42/C47</f>
        <v>0.48130841121495338</v>
      </c>
      <c r="AA44" s="156">
        <f>AA42/C47</f>
        <v>0</v>
      </c>
      <c r="AB44" s="180">
        <f>SUM(Y44:AA44)</f>
        <v>1.0000000000000002</v>
      </c>
    </row>
    <row r="45" spans="1:30" ht="18.75" thickBot="1" x14ac:dyDescent="0.25">
      <c r="A45" s="292"/>
      <c r="B45" s="293"/>
      <c r="C45" s="293"/>
      <c r="D45" s="293"/>
      <c r="E45" s="293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18" t="s">
        <v>25</v>
      </c>
      <c r="B46" s="719"/>
      <c r="C46" s="294">
        <f>J1*J2</f>
        <v>6.6666666666666661</v>
      </c>
      <c r="D46" s="294"/>
      <c r="E46" s="294"/>
      <c r="F46" s="295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96"/>
      <c r="B47" s="297" t="s">
        <v>26</v>
      </c>
      <c r="C47" s="298">
        <f>L43</f>
        <v>6.6874999999999982</v>
      </c>
      <c r="D47" s="298"/>
      <c r="E47" s="298"/>
      <c r="F47" s="299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96"/>
      <c r="B48" s="297" t="s">
        <v>27</v>
      </c>
      <c r="C48" s="294" t="str">
        <f>IF(C46&gt;C47,C46-C47,"00:00:00")</f>
        <v>00:00:00</v>
      </c>
      <c r="D48" s="298"/>
      <c r="E48" s="298"/>
      <c r="F48" s="300"/>
      <c r="K48" s="35"/>
      <c r="P48" s="215"/>
      <c r="Q48" s="216"/>
      <c r="R48" s="216"/>
      <c r="S48" s="216"/>
      <c r="T48" s="264"/>
      <c r="U48" s="216"/>
    </row>
    <row r="49" spans="1:30" ht="13.5" thickBot="1" x14ac:dyDescent="0.25">
      <c r="A49" s="296"/>
      <c r="B49" s="297" t="s">
        <v>28</v>
      </c>
      <c r="C49" s="294">
        <f>IF(C47&gt;C46,C47-C46,"00:00:00")</f>
        <v>2.0833333333332149E-2</v>
      </c>
      <c r="D49" s="301"/>
      <c r="E49" s="302" t="s">
        <v>29</v>
      </c>
      <c r="F49" s="295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292"/>
      <c r="B50" s="293"/>
      <c r="C50" s="293"/>
      <c r="D50" s="293"/>
      <c r="E50" s="293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96"/>
      <c r="B51" s="297" t="s">
        <v>30</v>
      </c>
      <c r="C51" s="68">
        <v>0</v>
      </c>
      <c r="D51" s="294"/>
      <c r="E51" s="303" t="s">
        <v>31</v>
      </c>
      <c r="F51" s="304" t="str">
        <f>IF(C51&gt;C52,C51-C52,"00:00:00")</f>
        <v>00:00:00</v>
      </c>
    </row>
    <row r="52" spans="1:30" ht="13.5" thickBot="1" x14ac:dyDescent="0.25">
      <c r="A52" s="296"/>
      <c r="B52" s="297" t="s">
        <v>32</v>
      </c>
      <c r="C52" s="68">
        <v>0</v>
      </c>
      <c r="D52" s="294"/>
      <c r="E52" s="303" t="s">
        <v>33</v>
      </c>
      <c r="F52" s="304" t="str">
        <f>IF(C52&gt;C51,C52-C51,"00:00:00")</f>
        <v>00:00:00</v>
      </c>
    </row>
    <row r="53" spans="1:30" ht="13.5" thickBot="1" x14ac:dyDescent="0.25">
      <c r="A53" s="712" t="s">
        <v>34</v>
      </c>
      <c r="B53" s="713"/>
      <c r="C53" s="305">
        <f>Horas!K3-Febrero!J1</f>
        <v>0</v>
      </c>
      <c r="D53" s="714" t="s">
        <v>35</v>
      </c>
      <c r="E53" s="714"/>
      <c r="F53" s="306">
        <v>0</v>
      </c>
      <c r="P53" s="66"/>
      <c r="Q53" s="2"/>
      <c r="R53" s="2"/>
    </row>
    <row r="54" spans="1:30" ht="13.5" thickBot="1" x14ac:dyDescent="0.25">
      <c r="A54" s="715" t="s">
        <v>36</v>
      </c>
      <c r="B54" s="716"/>
      <c r="C54" s="307">
        <v>0</v>
      </c>
      <c r="D54" s="717" t="s">
        <v>37</v>
      </c>
      <c r="E54" s="717"/>
      <c r="F54" s="308">
        <v>0</v>
      </c>
      <c r="P54" s="66"/>
      <c r="Q54" s="2"/>
      <c r="R54" s="2"/>
    </row>
    <row r="55" spans="1:30" ht="13.5" thickBot="1" x14ac:dyDescent="0.25">
      <c r="A55" s="292"/>
      <c r="B55" s="293"/>
      <c r="C55" s="293"/>
      <c r="D55" s="293"/>
      <c r="E55" s="293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A54:B54"/>
    <mergeCell ref="D54:E54"/>
    <mergeCell ref="A46:B46"/>
    <mergeCell ref="Q46:Q47"/>
    <mergeCell ref="R46:R47"/>
    <mergeCell ref="S46:S47"/>
    <mergeCell ref="T46:T47"/>
    <mergeCell ref="A53:B53"/>
    <mergeCell ref="D53:E53"/>
    <mergeCell ref="P19:T19"/>
    <mergeCell ref="X21:X25"/>
    <mergeCell ref="P26:T26"/>
    <mergeCell ref="X28:X32"/>
    <mergeCell ref="P33:T33"/>
    <mergeCell ref="X35:X39"/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">
    <pageSetUpPr fitToPage="1"/>
  </sheetPr>
  <dimension ref="A1:AE59"/>
  <sheetViews>
    <sheetView zoomScaleNormal="100" workbookViewId="0">
      <pane ySplit="6" topLeftCell="A16" activePane="bottomLeft" state="frozen"/>
      <selection pane="bottomLeft" activeCell="M17" sqref="M17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5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31" t="s">
        <v>0</v>
      </c>
      <c r="B1" s="726" t="s">
        <v>38</v>
      </c>
      <c r="C1" s="727"/>
      <c r="D1" s="728"/>
      <c r="E1" s="29" t="s">
        <v>1</v>
      </c>
      <c r="F1" s="10">
        <v>2.0833333333333329E-2</v>
      </c>
      <c r="I1" s="6" t="s">
        <v>2</v>
      </c>
      <c r="J1" s="7">
        <v>20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32" t="s">
        <v>3</v>
      </c>
      <c r="B2" s="729"/>
      <c r="C2" s="730"/>
      <c r="D2" s="731"/>
      <c r="E2" s="30" t="s">
        <v>4</v>
      </c>
      <c r="F2" s="11">
        <v>1.3888888888888888E-2</v>
      </c>
      <c r="I2" s="8" t="s">
        <v>5</v>
      </c>
      <c r="J2" s="9">
        <v>0.33333333333333331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33" t="s">
        <v>6</v>
      </c>
      <c r="B3" s="732">
        <v>46447</v>
      </c>
      <c r="C3" s="733"/>
      <c r="D3" s="734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07"/>
      <c r="M4" s="506"/>
      <c r="N4" s="735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329" t="s">
        <v>7</v>
      </c>
      <c r="B5" s="330" t="s">
        <v>8</v>
      </c>
      <c r="C5" s="330" t="s">
        <v>9</v>
      </c>
      <c r="D5" s="330" t="s">
        <v>10</v>
      </c>
      <c r="E5" s="330" t="s">
        <v>11</v>
      </c>
      <c r="F5" s="330" t="s">
        <v>12</v>
      </c>
      <c r="G5" s="330" t="s">
        <v>13</v>
      </c>
      <c r="H5" s="330" t="s">
        <v>14</v>
      </c>
      <c r="I5" s="330" t="s">
        <v>15</v>
      </c>
      <c r="J5" s="330" t="s">
        <v>16</v>
      </c>
      <c r="K5" s="330" t="s">
        <v>17</v>
      </c>
      <c r="L5" s="331" t="s">
        <v>18</v>
      </c>
      <c r="M5" s="394" t="s">
        <v>44</v>
      </c>
      <c r="N5" s="332" t="s">
        <v>12</v>
      </c>
      <c r="O5" s="333" t="s">
        <v>15</v>
      </c>
      <c r="T5" s="55">
        <f>C46</f>
        <v>6.6666666666666661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334"/>
      <c r="B6" s="327"/>
      <c r="C6" s="327"/>
      <c r="D6" s="327"/>
      <c r="E6" s="327"/>
      <c r="F6" s="327"/>
      <c r="G6" s="327"/>
      <c r="H6" s="327"/>
      <c r="I6" s="327"/>
      <c r="J6" s="328"/>
      <c r="K6" s="328"/>
      <c r="L6" s="390"/>
      <c r="M6" s="411"/>
      <c r="N6" s="130"/>
      <c r="O6" s="131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261" t="s">
        <v>49</v>
      </c>
      <c r="AA6" s="261" t="s">
        <v>50</v>
      </c>
      <c r="AB6" s="262" t="s">
        <v>51</v>
      </c>
      <c r="AC6" s="104"/>
      <c r="AD6" s="186"/>
    </row>
    <row r="7" spans="1:31" ht="12.75" customHeight="1" thickBot="1" x14ac:dyDescent="0.25">
      <c r="A7" s="225">
        <v>46447</v>
      </c>
      <c r="B7" s="266">
        <v>0.30972222222222223</v>
      </c>
      <c r="C7" s="266">
        <v>0.48402777777777778</v>
      </c>
      <c r="D7" s="266">
        <v>0.49722222222222223</v>
      </c>
      <c r="E7" s="266"/>
      <c r="F7" s="266"/>
      <c r="G7" s="266"/>
      <c r="H7" s="266"/>
      <c r="I7" s="266">
        <v>0.63263888888888886</v>
      </c>
      <c r="J7" s="265">
        <f>F7-E7</f>
        <v>0</v>
      </c>
      <c r="K7" s="265">
        <f>IF((D7-C7)&lt;=$F$2,0,(D7-C7)-$F$2)</f>
        <v>0</v>
      </c>
      <c r="L7" s="319">
        <f>(I7-B7)-K7-(H7-G7)-J7</f>
        <v>0.32291666666666663</v>
      </c>
      <c r="M7" s="412" t="s">
        <v>45</v>
      </c>
      <c r="N7" s="219"/>
      <c r="O7" s="212"/>
      <c r="P7" s="420">
        <f>MROUND(L7,"0:15")</f>
        <v>0.32291666666666663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1</v>
      </c>
      <c r="R7" s="71"/>
      <c r="S7" s="72"/>
      <c r="T7" s="421">
        <f>T5-L7</f>
        <v>6.3437499999999991</v>
      </c>
      <c r="U7" s="74"/>
      <c r="V7" s="76">
        <v>0</v>
      </c>
      <c r="W7" s="192"/>
      <c r="X7" s="701"/>
      <c r="Y7" s="142">
        <f>IF(M7="O",P7 - AA7,"0:00:00")</f>
        <v>0.32291666666666663</v>
      </c>
      <c r="Z7" s="138" t="str">
        <f>IF(M7="C",P7,"0:00:00")</f>
        <v>0:00:00</v>
      </c>
      <c r="AA7" s="138" t="str">
        <f>IF(P7="M",Q7-P7,"0:00:00")</f>
        <v>0:00:00</v>
      </c>
      <c r="AB7" s="157">
        <f>SUM(Y7:Z7)</f>
        <v>0.32291666666666663</v>
      </c>
      <c r="AC7" s="139">
        <v>0</v>
      </c>
      <c r="AD7" s="188"/>
      <c r="AE7" s="256"/>
    </row>
    <row r="8" spans="1:31" ht="12.75" customHeight="1" thickBot="1" x14ac:dyDescent="0.25">
      <c r="A8" s="225">
        <v>46448</v>
      </c>
      <c r="B8" s="266">
        <v>0.3125</v>
      </c>
      <c r="C8" s="266">
        <v>0.47916666666666669</v>
      </c>
      <c r="D8" s="266">
        <v>0.4916666666666667</v>
      </c>
      <c r="E8" s="266"/>
      <c r="F8" s="266"/>
      <c r="G8" s="266"/>
      <c r="H8" s="266"/>
      <c r="I8" s="266">
        <v>0.72916666666666663</v>
      </c>
      <c r="J8" s="265">
        <f>IF((F8-E8)&lt;$F$1,$F$1,F8-E8)</f>
        <v>2.0833333333333329E-2</v>
      </c>
      <c r="K8" s="265">
        <f>IF((D8-C8)&lt;=$F$2,0,(D8-C8)-$F$2)</f>
        <v>0</v>
      </c>
      <c r="L8" s="319">
        <f>(I8-B8)-K8-(H8-G8)-J8</f>
        <v>0.39583333333333331</v>
      </c>
      <c r="M8" s="412" t="s">
        <v>53</v>
      </c>
      <c r="N8" s="315"/>
      <c r="O8" s="212"/>
      <c r="P8" s="420">
        <f>MROUND(L8,"0:15")</f>
        <v>0.39583333333333331</v>
      </c>
      <c r="Q8" s="95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1</v>
      </c>
      <c r="R8" s="95"/>
      <c r="S8" s="96"/>
      <c r="T8" s="422">
        <f>T7-L8</f>
        <v>5.9479166666666661</v>
      </c>
      <c r="U8" s="97"/>
      <c r="V8" s="77">
        <v>0</v>
      </c>
      <c r="W8" s="193"/>
      <c r="X8" s="689"/>
      <c r="Y8" s="142" t="str">
        <f>IF(M8="O",P8 - AA8,"0:00:00")</f>
        <v>0:00:00</v>
      </c>
      <c r="Z8" s="140">
        <f>IF(M8="C",P8,"0:00:00")</f>
        <v>0.39583333333333331</v>
      </c>
      <c r="AA8" s="140">
        <v>0</v>
      </c>
      <c r="AB8" s="158">
        <f>SUM(Y8:Z8)</f>
        <v>0.39583333333333331</v>
      </c>
      <c r="AC8" s="141">
        <v>0</v>
      </c>
      <c r="AD8" s="189"/>
    </row>
    <row r="9" spans="1:31" s="1" customFormat="1" ht="12.75" customHeight="1" thickBot="1" x14ac:dyDescent="0.25">
      <c r="A9" s="225">
        <v>46449</v>
      </c>
      <c r="B9" s="266">
        <v>0.30972222222222223</v>
      </c>
      <c r="C9" s="266">
        <v>0.47500000000000003</v>
      </c>
      <c r="D9" s="266">
        <v>0.48749999999999999</v>
      </c>
      <c r="E9" s="266"/>
      <c r="F9" s="266"/>
      <c r="G9" s="266"/>
      <c r="H9" s="266"/>
      <c r="I9" s="266">
        <v>0.62222222222222223</v>
      </c>
      <c r="J9" s="265">
        <f t="shared" ref="J9:J10" si="0">F9-E9</f>
        <v>0</v>
      </c>
      <c r="K9" s="265">
        <f>IF((D9-C9)&lt;=$F$2,0,(D9-C9)-$F$2)</f>
        <v>0</v>
      </c>
      <c r="L9" s="319">
        <f>(I9-B9)-K9-(H9-G9)-J9</f>
        <v>0.3125</v>
      </c>
      <c r="M9" s="413" t="s">
        <v>45</v>
      </c>
      <c r="N9" s="315"/>
      <c r="O9" s="212"/>
      <c r="P9" s="420">
        <f>MROUND(L9,"0:15")</f>
        <v>0.3125</v>
      </c>
      <c r="Q9" s="8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1</v>
      </c>
      <c r="R9" s="84"/>
      <c r="S9" s="85"/>
      <c r="T9" s="423">
        <f>T8-L9</f>
        <v>5.6354166666666661</v>
      </c>
      <c r="U9" s="366"/>
      <c r="V9" s="182">
        <v>0</v>
      </c>
      <c r="W9" s="194"/>
      <c r="X9" s="689"/>
      <c r="Y9" s="375">
        <f>IF(M9="O",P9 - AA9,"0:00:00")</f>
        <v>0.3125</v>
      </c>
      <c r="Z9" s="376" t="str">
        <f>IF(M9="C",P9,"0:00:00")</f>
        <v>0:00:00</v>
      </c>
      <c r="AA9" s="367" t="str">
        <f>IF(P9="M",Q9-P9,"0:00:00")</f>
        <v>0:00:00</v>
      </c>
      <c r="AB9" s="368">
        <f>SUM(Y9:Z9)</f>
        <v>0.3125</v>
      </c>
      <c r="AC9" s="195">
        <v>0</v>
      </c>
      <c r="AD9" s="196" t="b">
        <f>V9=AC9</f>
        <v>1</v>
      </c>
    </row>
    <row r="10" spans="1:31" ht="12.75" customHeight="1" thickBot="1" x14ac:dyDescent="0.25">
      <c r="A10" s="225">
        <v>46450</v>
      </c>
      <c r="B10" s="266">
        <v>0.30972222222222223</v>
      </c>
      <c r="C10" s="266">
        <v>0.47083333333333338</v>
      </c>
      <c r="D10" s="266">
        <v>0.48402777777777778</v>
      </c>
      <c r="E10" s="266"/>
      <c r="F10" s="266"/>
      <c r="G10" s="266"/>
      <c r="H10" s="266"/>
      <c r="I10" s="266">
        <v>0.62222222222222223</v>
      </c>
      <c r="J10" s="265">
        <f t="shared" si="0"/>
        <v>0</v>
      </c>
      <c r="K10" s="265">
        <f>IF((D10-C10)&lt;=$F$2,0,(D10-C10)-$F$2)</f>
        <v>0</v>
      </c>
      <c r="L10" s="319">
        <f>(I10-B10)-K10-(H10-G10)-J10</f>
        <v>0.3125</v>
      </c>
      <c r="M10" s="413" t="s">
        <v>53</v>
      </c>
      <c r="N10" s="316"/>
      <c r="O10" s="214"/>
      <c r="P10" s="420">
        <f>MROUND(L10,"0:15")</f>
        <v>0.3125</v>
      </c>
      <c r="Q10" s="8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1</v>
      </c>
      <c r="R10" s="84"/>
      <c r="S10" s="85"/>
      <c r="T10" s="423">
        <f>T9-L10</f>
        <v>5.3229166666666661</v>
      </c>
      <c r="U10" s="366"/>
      <c r="V10" s="182">
        <v>0.45833333333333331</v>
      </c>
      <c r="W10" s="194"/>
      <c r="X10" s="689"/>
      <c r="Y10" s="142" t="str">
        <f>IF(M10="O",P10 - AA10,"0:00:00")</f>
        <v>0:00:00</v>
      </c>
      <c r="Z10" s="379">
        <f>IF(M10="C",P10,"0:00:00")</f>
        <v>0.3125</v>
      </c>
      <c r="AA10" s="140" t="str">
        <f>IF(P10="M",Q10-P10,"0:00:00")</f>
        <v>0:00:00</v>
      </c>
      <c r="AB10" s="158">
        <f>SUM(Y10:Z10)</f>
        <v>0.3125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225">
        <v>46451</v>
      </c>
      <c r="B11" s="266">
        <v>0.3125</v>
      </c>
      <c r="C11" s="266">
        <v>0.46388888888888885</v>
      </c>
      <c r="D11" s="266">
        <v>0.4777777777777778</v>
      </c>
      <c r="E11" s="266"/>
      <c r="F11" s="266"/>
      <c r="G11" s="266"/>
      <c r="H11" s="266"/>
      <c r="I11" s="266">
        <v>0.65625</v>
      </c>
      <c r="J11" s="265">
        <v>0</v>
      </c>
      <c r="K11" s="265">
        <f>IF((D11-C11)&lt;=$F$2,0,(D11-C11)-$F$2)</f>
        <v>6.2450045135165055E-17</v>
      </c>
      <c r="L11" s="319">
        <f>(I11-B11)-K11-(H11-G11)-J11</f>
        <v>0.34374999999999994</v>
      </c>
      <c r="M11" s="414" t="s">
        <v>53</v>
      </c>
      <c r="N11" s="315"/>
      <c r="O11" s="212"/>
      <c r="P11" s="424">
        <f>MROUND(L11,"0:15")</f>
        <v>0.34375</v>
      </c>
      <c r="Q11" s="382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1</v>
      </c>
      <c r="R11" s="382"/>
      <c r="S11" s="383"/>
      <c r="T11" s="425">
        <f>T10-L11</f>
        <v>4.9791666666666661</v>
      </c>
      <c r="U11" s="369"/>
      <c r="V11" s="182">
        <v>0.29166666666666669</v>
      </c>
      <c r="W11" s="194">
        <v>45261</v>
      </c>
      <c r="X11" s="702"/>
      <c r="Y11" s="361" t="str">
        <f>IF(M11="O",P11 - AA11,"0:00:00")</f>
        <v>0:00:00</v>
      </c>
      <c r="Z11" s="379">
        <f>IF(M11="C",P11,"0:00:00")</f>
        <v>0.34375</v>
      </c>
      <c r="AA11" s="143" t="str">
        <f>IF(P11="M",Q11-P11,"0:00:00")</f>
        <v>0:00:00</v>
      </c>
      <c r="AB11" s="159">
        <f>SUM(Y11:Z11)</f>
        <v>0.34375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1.6875</v>
      </c>
      <c r="M12" s="396"/>
      <c r="N12" s="128"/>
      <c r="O12" s="129"/>
      <c r="P12" s="706">
        <f>SUM(P7:P11)</f>
        <v>1.6875</v>
      </c>
      <c r="Q12" s="707"/>
      <c r="R12" s="707"/>
      <c r="S12" s="707"/>
      <c r="T12" s="708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415"/>
      <c r="N13" s="130"/>
      <c r="O13" s="131"/>
      <c r="P13" s="426"/>
      <c r="Q13" s="338">
        <f>Q11</f>
        <v>1</v>
      </c>
      <c r="R13" s="338"/>
      <c r="S13" s="339"/>
      <c r="T13" s="427"/>
      <c r="U13" s="374"/>
      <c r="V13" s="35"/>
      <c r="W13" s="69"/>
      <c r="X13" s="148"/>
      <c r="Y13" s="160"/>
      <c r="Z13" s="161"/>
      <c r="AA13" s="162"/>
      <c r="AB13" s="163"/>
      <c r="AC13" s="146"/>
      <c r="AD13" s="149"/>
    </row>
    <row r="14" spans="1:31" s="1" customFormat="1" ht="12" thickBot="1" x14ac:dyDescent="0.25">
      <c r="A14" s="226">
        <v>46454</v>
      </c>
      <c r="B14" s="266">
        <v>0.30972222222222223</v>
      </c>
      <c r="C14" s="266">
        <v>0.48402777777777778</v>
      </c>
      <c r="D14" s="266">
        <v>0.49722222222222223</v>
      </c>
      <c r="E14" s="266"/>
      <c r="F14" s="266"/>
      <c r="G14" s="266"/>
      <c r="H14" s="266"/>
      <c r="I14" s="266">
        <v>0.62361111111111112</v>
      </c>
      <c r="J14" s="265">
        <f>F14-E14</f>
        <v>0</v>
      </c>
      <c r="K14" s="265">
        <f>IF((D14-C14)&lt;=$F$2,0,(D14-C14)-$F$2)</f>
        <v>0</v>
      </c>
      <c r="L14" s="319">
        <f>(I14-B14)-K14-(H14-G14)-J14</f>
        <v>0.31388888888888888</v>
      </c>
      <c r="M14" s="412" t="s">
        <v>45</v>
      </c>
      <c r="N14" s="211"/>
      <c r="O14" s="212"/>
      <c r="P14" s="428">
        <f>MROUND(L14,"0:15")</f>
        <v>0.3125</v>
      </c>
      <c r="Q14" s="201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3</v>
      </c>
      <c r="R14" s="201"/>
      <c r="S14" s="202"/>
      <c r="T14" s="429">
        <f>T11-L14</f>
        <v>4.665277777777777</v>
      </c>
      <c r="U14" s="370"/>
      <c r="V14" s="205">
        <v>0.30208333333333331</v>
      </c>
      <c r="W14" s="204">
        <v>45264</v>
      </c>
      <c r="X14" s="682"/>
      <c r="Y14" s="345">
        <f>IF(M14="O",P14 - AA14,"0:00:00")</f>
        <v>0.3125</v>
      </c>
      <c r="Z14" s="349" t="str">
        <f>IF(M14="C",P14,"0:00:00")</f>
        <v>0:00:00</v>
      </c>
      <c r="AA14" s="138" t="str">
        <f>IF(P14="M",Q14-P14,"0:00:00")</f>
        <v>0:00:00</v>
      </c>
      <c r="AB14" s="157">
        <f>SUM(Y14:Z14)</f>
        <v>0.3125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226">
        <v>46455</v>
      </c>
      <c r="B15" s="266">
        <v>0.3125</v>
      </c>
      <c r="C15" s="266">
        <v>0.47916666666666669</v>
      </c>
      <c r="D15" s="266">
        <v>0.4916666666666667</v>
      </c>
      <c r="E15" s="266"/>
      <c r="F15" s="266"/>
      <c r="G15" s="266"/>
      <c r="H15" s="266"/>
      <c r="I15" s="266">
        <v>0.71875</v>
      </c>
      <c r="J15" s="265">
        <f>IF((F15-E15)&lt;$F$1,$F$1,F15-E15)</f>
        <v>2.0833333333333329E-2</v>
      </c>
      <c r="K15" s="265">
        <f>IF((D15-C15)&lt;=$F$2,0,(D15-C15)-$F$2)</f>
        <v>0</v>
      </c>
      <c r="L15" s="319">
        <f>(I15-B15)-K15-(H15-G15)-J15</f>
        <v>0.38541666666666669</v>
      </c>
      <c r="M15" s="412" t="s">
        <v>53</v>
      </c>
      <c r="N15" s="211"/>
      <c r="O15" s="212"/>
      <c r="P15" s="428">
        <f>MROUND(L15,"0:15")</f>
        <v>0.38541666666666663</v>
      </c>
      <c r="Q15" s="8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3</v>
      </c>
      <c r="R15" s="84"/>
      <c r="S15" s="85"/>
      <c r="T15" s="423">
        <f>T14-L15</f>
        <v>4.27986111111111</v>
      </c>
      <c r="U15" s="366"/>
      <c r="V15" s="206">
        <v>0.25</v>
      </c>
      <c r="W15" s="204">
        <v>45265</v>
      </c>
      <c r="X15" s="682"/>
      <c r="Y15" s="361" t="str">
        <f>IF(M15="O",P15 - AA15,"0:00:00")</f>
        <v>0:00:00</v>
      </c>
      <c r="Z15" s="152">
        <f>IF(M15="C",P15,"0:00:00")</f>
        <v>0.38541666666666663</v>
      </c>
      <c r="AA15" s="152" t="str">
        <f>IF(P15="M",Q15-P15,"0:00:00")</f>
        <v>0:00:00</v>
      </c>
      <c r="AB15" s="164">
        <f>SUM(Y15:Z15)</f>
        <v>0.38541666666666663</v>
      </c>
      <c r="AC15" s="107">
        <v>0.25</v>
      </c>
      <c r="AD15" s="189" t="b">
        <f>V15=AC15</f>
        <v>1</v>
      </c>
    </row>
    <row r="16" spans="1:31" s="1" customFormat="1" ht="12.75" customHeight="1" thickBot="1" x14ac:dyDescent="0.25">
      <c r="A16" s="226">
        <v>46456</v>
      </c>
      <c r="B16" s="266">
        <v>0.30972222222222223</v>
      </c>
      <c r="C16" s="266">
        <v>0.47500000000000003</v>
      </c>
      <c r="D16" s="266">
        <v>0.48749999999999999</v>
      </c>
      <c r="E16" s="266"/>
      <c r="F16" s="266"/>
      <c r="G16" s="266"/>
      <c r="H16" s="266"/>
      <c r="I16" s="266">
        <v>0.62152777777777779</v>
      </c>
      <c r="J16" s="265">
        <f t="shared" ref="J16:J17" si="1">F16-E16</f>
        <v>0</v>
      </c>
      <c r="K16" s="265">
        <f>IF((D16-C16)&lt;=$F$2,0,(D16-C16)-$F$2)</f>
        <v>0</v>
      </c>
      <c r="L16" s="319">
        <f>(I16-B16)-K16-(H16-G16)-J16</f>
        <v>0.31180555555555556</v>
      </c>
      <c r="M16" s="412" t="s">
        <v>45</v>
      </c>
      <c r="N16" s="211"/>
      <c r="O16" s="212"/>
      <c r="P16" s="430">
        <f>MROUND(L16,"0:15")</f>
        <v>0.3125</v>
      </c>
      <c r="Q16" s="95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2</v>
      </c>
      <c r="R16" s="95"/>
      <c r="S16" s="96"/>
      <c r="T16" s="431">
        <f>T15-P16</f>
        <v>3.96736111111111</v>
      </c>
      <c r="U16" s="97"/>
      <c r="V16" s="206">
        <v>0.23958333333333334</v>
      </c>
      <c r="W16" s="204">
        <v>45266</v>
      </c>
      <c r="X16" s="682"/>
      <c r="Y16" s="361">
        <f>IF(M16="O",P16 - AA16,"0:00:00")</f>
        <v>0.3125</v>
      </c>
      <c r="Z16" s="152" t="str">
        <f>IF(M16="C",P16,"0:00:00")</f>
        <v>0:00:00</v>
      </c>
      <c r="AA16" s="152" t="str">
        <f>IF(P16="M",Q16-P16,"0:00:00")</f>
        <v>0:00:00</v>
      </c>
      <c r="AB16" s="152">
        <f>SUM(Y16:Z16)</f>
        <v>0.3125</v>
      </c>
      <c r="AC16" s="107">
        <v>0.23958333333333334</v>
      </c>
      <c r="AD16" s="189" t="b">
        <f>V16=AC16</f>
        <v>1</v>
      </c>
    </row>
    <row r="17" spans="1:30" ht="12.75" customHeight="1" thickBot="1" x14ac:dyDescent="0.25">
      <c r="A17" s="226">
        <v>46457</v>
      </c>
      <c r="B17" s="266">
        <v>0.30972222222222223</v>
      </c>
      <c r="C17" s="266">
        <v>0.47083333333333338</v>
      </c>
      <c r="D17" s="266">
        <v>0.48402777777777778</v>
      </c>
      <c r="E17" s="266"/>
      <c r="F17" s="266"/>
      <c r="G17" s="266"/>
      <c r="H17" s="266"/>
      <c r="I17" s="266">
        <v>0.62152777777777779</v>
      </c>
      <c r="J17" s="265">
        <f t="shared" si="1"/>
        <v>0</v>
      </c>
      <c r="K17" s="265">
        <f>IF((D17-C17)&lt;=$F$2,0,(D17-C17)-$F$2)</f>
        <v>0</v>
      </c>
      <c r="L17" s="319">
        <f>(I17-B17)-K17-(H17-G17)-J17</f>
        <v>0.31180555555555556</v>
      </c>
      <c r="M17" s="413" t="s">
        <v>45</v>
      </c>
      <c r="N17" s="213"/>
      <c r="O17" s="214"/>
      <c r="P17" s="428">
        <f>MROUND(L17,"0:15")</f>
        <v>0.3125</v>
      </c>
      <c r="Q17" s="8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1</v>
      </c>
      <c r="R17" s="84"/>
      <c r="S17" s="85"/>
      <c r="T17" s="432">
        <f>T16-P17</f>
        <v>3.65486111111111</v>
      </c>
      <c r="U17" s="366"/>
      <c r="V17" s="206">
        <v>0</v>
      </c>
      <c r="W17" s="204">
        <v>45267</v>
      </c>
      <c r="X17" s="682"/>
      <c r="Y17" s="361">
        <f>IF(M17="O",P17 - AA17,"0:00:00")</f>
        <v>0.3125</v>
      </c>
      <c r="Z17" s="152" t="str">
        <f>IF(M17="C",P17,"0:00:00")</f>
        <v>0:00:00</v>
      </c>
      <c r="AA17" s="140" t="str">
        <f>IF(P17="M",Q17-P17,"0:00:00")</f>
        <v>0:00:00</v>
      </c>
      <c r="AB17" s="140">
        <f>SUM(Y17:Z17)</f>
        <v>0.3125</v>
      </c>
      <c r="AC17" s="195">
        <v>0</v>
      </c>
      <c r="AD17" s="196" t="b">
        <f>V17=AC17</f>
        <v>1</v>
      </c>
    </row>
    <row r="18" spans="1:30" ht="13.5" thickBot="1" x14ac:dyDescent="0.25">
      <c r="A18" s="226">
        <v>46458</v>
      </c>
      <c r="B18" s="266">
        <v>0.3125</v>
      </c>
      <c r="C18" s="266">
        <v>0.46388888888888885</v>
      </c>
      <c r="D18" s="266">
        <v>0.4777777777777778</v>
      </c>
      <c r="E18" s="266"/>
      <c r="F18" s="266"/>
      <c r="G18" s="266"/>
      <c r="H18" s="266"/>
      <c r="I18" s="266">
        <v>0.65625</v>
      </c>
      <c r="J18" s="259">
        <v>0</v>
      </c>
      <c r="K18" s="259">
        <f>IF((D18-C18)&lt;=$F$2,0,(D18-C18)-$F$2)</f>
        <v>6.2450045135165055E-17</v>
      </c>
      <c r="L18" s="408">
        <f>(I18-B18)-K18-(H18-G18)-J18</f>
        <v>0.34374999999999994</v>
      </c>
      <c r="M18" s="412" t="s">
        <v>53</v>
      </c>
      <c r="N18" s="211"/>
      <c r="O18" s="212"/>
      <c r="P18" s="428">
        <f>MROUND(L18,"0:15")</f>
        <v>0.34375</v>
      </c>
      <c r="Q18" s="199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1</v>
      </c>
      <c r="R18" s="199"/>
      <c r="S18" s="200"/>
      <c r="T18" s="433">
        <f>T17-L18</f>
        <v>3.31111111111111</v>
      </c>
      <c r="U18" s="358"/>
      <c r="V18" s="207">
        <v>0</v>
      </c>
      <c r="W18" s="204">
        <v>45268</v>
      </c>
      <c r="X18" s="682"/>
      <c r="Y18" s="361" t="str">
        <f>IF(M18="O",P18 - AA18,"0:00:00")</f>
        <v>0:00:00</v>
      </c>
      <c r="Z18" s="152">
        <f>IF(M18="C",P18,"0:00:00")</f>
        <v>0.34375</v>
      </c>
      <c r="AA18" s="143" t="str">
        <f>IF(P18="M",Q18-P18,"0:00:00")</f>
        <v>0:00:00</v>
      </c>
      <c r="AB18" s="159">
        <f>SUM(Y18:Z18)</f>
        <v>0.34375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1.6666666666666665</v>
      </c>
      <c r="M19" s="396"/>
      <c r="N19" s="122"/>
      <c r="O19" s="123"/>
      <c r="P19" s="706">
        <f>SUM(P14:P18)</f>
        <v>1.6666666666666665</v>
      </c>
      <c r="Q19" s="707"/>
      <c r="R19" s="707"/>
      <c r="S19" s="707"/>
      <c r="T19" s="708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398"/>
      <c r="N20" s="130"/>
      <c r="O20" s="131"/>
      <c r="P20" s="434"/>
      <c r="Q20" s="341">
        <f>Q18</f>
        <v>1</v>
      </c>
      <c r="R20" s="341"/>
      <c r="S20" s="342"/>
      <c r="T20" s="435"/>
      <c r="U20" s="385"/>
      <c r="V20" s="35"/>
      <c r="W20" s="79"/>
      <c r="X20" s="148"/>
      <c r="Y20" s="160"/>
      <c r="Z20" s="161"/>
      <c r="AA20" s="162"/>
      <c r="AB20" s="163"/>
      <c r="AC20" s="146"/>
      <c r="AD20" s="149"/>
    </row>
    <row r="21" spans="1:30" ht="12.75" customHeight="1" thickBot="1" x14ac:dyDescent="0.25">
      <c r="A21" s="226">
        <v>46461</v>
      </c>
      <c r="B21" s="266">
        <v>0.3</v>
      </c>
      <c r="C21" s="266">
        <v>0.49791666666666662</v>
      </c>
      <c r="D21" s="266">
        <v>0.51180555555555551</v>
      </c>
      <c r="E21" s="266"/>
      <c r="F21" s="266"/>
      <c r="G21" s="266"/>
      <c r="H21" s="266"/>
      <c r="I21" s="266">
        <v>0.61944444444444446</v>
      </c>
      <c r="J21" s="265">
        <f>F21-E21</f>
        <v>0</v>
      </c>
      <c r="K21" s="260">
        <f>IF((D21-C21)&lt;=$F$2,0,(D21-C21)-$F$2)</f>
        <v>0</v>
      </c>
      <c r="L21" s="409">
        <f>(I21-B21)-K21-(H21-G21)-J21</f>
        <v>0.31944444444444448</v>
      </c>
      <c r="M21" s="413" t="s">
        <v>45</v>
      </c>
      <c r="N21" s="211"/>
      <c r="O21" s="212"/>
      <c r="P21" s="428">
        <f>MROUND(L21,"0:15")</f>
        <v>0.32291666666666663</v>
      </c>
      <c r="Q21" s="98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-4</v>
      </c>
      <c r="R21" s="98"/>
      <c r="S21" s="99"/>
      <c r="T21" s="436">
        <f>T18-L21</f>
        <v>2.9916666666666654</v>
      </c>
      <c r="U21" s="100"/>
      <c r="V21" s="205">
        <v>0.36458333333333331</v>
      </c>
      <c r="W21" s="192">
        <v>45271</v>
      </c>
      <c r="X21" s="682"/>
      <c r="Y21" s="150">
        <f>IF(M21="O",P21 - AA21,"0:00:00")</f>
        <v>0.32291666666666663</v>
      </c>
      <c r="Z21" s="138" t="str">
        <f>IF(M21="C",P21,"0:00:00")</f>
        <v>0:00:00</v>
      </c>
      <c r="AA21" s="138" t="str">
        <f>IF(P21="M",Q21-P21,"0:00:00")</f>
        <v>0:00:00</v>
      </c>
      <c r="AB21" s="157">
        <f>SUM(Y21:Z21)</f>
        <v>0.32291666666666663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26">
        <v>46462</v>
      </c>
      <c r="B22" s="266">
        <v>0.33194444444444443</v>
      </c>
      <c r="C22" s="266">
        <v>0.5395833333333333</v>
      </c>
      <c r="D22" s="266">
        <v>0.55347222222222225</v>
      </c>
      <c r="E22" s="266">
        <v>0.65972222222222221</v>
      </c>
      <c r="F22" s="266">
        <v>0.67569444444444438</v>
      </c>
      <c r="G22" s="266"/>
      <c r="H22" s="266"/>
      <c r="I22" s="266">
        <v>0.75</v>
      </c>
      <c r="J22" s="265">
        <f>IF((F22-E22)&lt;$F$1,$F$1,F22-E22)</f>
        <v>2.0833333333333329E-2</v>
      </c>
      <c r="K22" s="260">
        <f>IF((D22-C22)&lt;=$F$2,0,(D22-C22)-$F$2)</f>
        <v>6.2450045135165055E-17</v>
      </c>
      <c r="L22" s="409">
        <f>(I22-B22)-K22-(H22-G22)-J22</f>
        <v>0.3972222222222222</v>
      </c>
      <c r="M22" s="412" t="s">
        <v>53</v>
      </c>
      <c r="N22" s="211"/>
      <c r="O22" s="212"/>
      <c r="P22" s="428">
        <f>MROUND(L22,"0:15")</f>
        <v>0.39583333333333331</v>
      </c>
      <c r="Q22" s="95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-2</v>
      </c>
      <c r="R22" s="95"/>
      <c r="S22" s="96"/>
      <c r="T22" s="422">
        <f>T21-L22</f>
        <v>2.5944444444444432</v>
      </c>
      <c r="U22" s="97"/>
      <c r="V22" s="206">
        <v>0.36458333333333331</v>
      </c>
      <c r="W22" s="192">
        <v>45272</v>
      </c>
      <c r="X22" s="682"/>
      <c r="Y22" s="343" t="str">
        <f>IF(M22="O",P22 - AA22,"0:00:00")</f>
        <v>0:00:00</v>
      </c>
      <c r="Z22" s="344">
        <f>IF(M22="C",P22,"0:00:00")</f>
        <v>0.39583333333333331</v>
      </c>
      <c r="AA22" s="140" t="str">
        <f>IF(P22="M",Q22-P22,"0:00:00")</f>
        <v>0:00:00</v>
      </c>
      <c r="AB22" s="158">
        <f>SUM(Y22:Z22)</f>
        <v>0.39583333333333331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26">
        <v>46463</v>
      </c>
      <c r="B23" s="266">
        <v>0.30555555555555552</v>
      </c>
      <c r="C23" s="266">
        <v>0.46111111111111108</v>
      </c>
      <c r="D23" s="266">
        <v>0.47430555555555554</v>
      </c>
      <c r="E23" s="266"/>
      <c r="F23" s="266"/>
      <c r="G23" s="266"/>
      <c r="H23" s="266"/>
      <c r="I23" s="266">
        <v>0.62013888888888891</v>
      </c>
      <c r="J23" s="265">
        <f t="shared" ref="J23:J24" si="2">F23-E23</f>
        <v>0</v>
      </c>
      <c r="K23" s="260">
        <f>IF((D23-C23)&lt;=$F$2,0,(D23-C23)-$F$2)</f>
        <v>0</v>
      </c>
      <c r="L23" s="409">
        <f>(I23-B23)-K23-(H23-G23)-J23</f>
        <v>0.31458333333333338</v>
      </c>
      <c r="M23" s="413" t="s">
        <v>45</v>
      </c>
      <c r="N23" s="211"/>
      <c r="O23" s="212"/>
      <c r="P23" s="428">
        <f>MROUND(L23,"0:15")</f>
        <v>0.3125</v>
      </c>
      <c r="Q23" s="95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1</v>
      </c>
      <c r="R23" s="95"/>
      <c r="S23" s="96"/>
      <c r="T23" s="422">
        <f>T22-L23</f>
        <v>2.27986111111111</v>
      </c>
      <c r="U23" s="97"/>
      <c r="V23" s="206">
        <v>0.45833333333333331</v>
      </c>
      <c r="W23" s="192">
        <v>45273</v>
      </c>
      <c r="X23" s="682"/>
      <c r="Y23" s="343">
        <f>IF(M23="O",P23 - AA23,"0:00:00")</f>
        <v>0.3125</v>
      </c>
      <c r="Z23" s="344" t="str">
        <f>IF(M23="C",P23,"0:00:00")</f>
        <v>0:00:00</v>
      </c>
      <c r="AA23" s="140" t="str">
        <f>IF(P23="M",Q23-P23,"0:00:00")</f>
        <v>0:00:00</v>
      </c>
      <c r="AB23" s="158">
        <f>SUM(Y23:Z23)</f>
        <v>0.3125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26">
        <v>46464</v>
      </c>
      <c r="B24" s="266">
        <v>0.31458333333333333</v>
      </c>
      <c r="C24" s="266">
        <v>0.4770833333333333</v>
      </c>
      <c r="D24" s="266">
        <v>0.51180555555555551</v>
      </c>
      <c r="E24" s="266"/>
      <c r="F24" s="266"/>
      <c r="G24" s="266"/>
      <c r="H24" s="266"/>
      <c r="I24" s="266">
        <v>0.6479166666666667</v>
      </c>
      <c r="J24" s="609">
        <f t="shared" si="2"/>
        <v>0</v>
      </c>
      <c r="K24" s="624">
        <f>IF((D24-C24)&lt;=$F$2,0,(D24-C24)-$F$2)</f>
        <v>2.0833333333333322E-2</v>
      </c>
      <c r="L24" s="625">
        <f>(I24-B24)-K24-(H24-G24)-J24</f>
        <v>0.31250000000000006</v>
      </c>
      <c r="M24" s="414" t="s">
        <v>53</v>
      </c>
      <c r="N24" s="213"/>
      <c r="O24" s="214"/>
      <c r="P24" s="428">
        <f>MROUND(L24,"0:15")</f>
        <v>0.3125</v>
      </c>
      <c r="Q24" s="249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1</v>
      </c>
      <c r="R24" s="249"/>
      <c r="S24" s="250"/>
      <c r="T24" s="437">
        <f>T23-L24</f>
        <v>1.96736111111111</v>
      </c>
      <c r="U24" s="372"/>
      <c r="V24" s="182">
        <v>0.32291666666666669</v>
      </c>
      <c r="W24" s="192">
        <v>45274</v>
      </c>
      <c r="X24" s="682"/>
      <c r="Y24" s="343" t="str">
        <f>IF(M24="O",P24 - AA24,"0:00:00")</f>
        <v>0:00:00</v>
      </c>
      <c r="Z24" s="344">
        <f>IF(M24="C",P24,"0:00:00")</f>
        <v>0.3125</v>
      </c>
      <c r="AA24" s="140" t="str">
        <f>IF(P24="M",Q24-P24,"0:00:00")</f>
        <v>0:00:00</v>
      </c>
      <c r="AB24" s="158">
        <f>SUM(Y24:Z24)</f>
        <v>0.3125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314">
        <v>46465</v>
      </c>
      <c r="B25" s="312"/>
      <c r="C25" s="312"/>
      <c r="D25" s="312"/>
      <c r="E25" s="312"/>
      <c r="F25" s="312"/>
      <c r="G25" s="312"/>
      <c r="H25" s="312"/>
      <c r="I25" s="312"/>
      <c r="J25" s="676"/>
      <c r="K25" s="676"/>
      <c r="L25" s="677"/>
      <c r="M25" s="416" t="s">
        <v>53</v>
      </c>
      <c r="N25" s="211"/>
      <c r="O25" s="212"/>
      <c r="P25" s="428">
        <f>MROUND(L25,"0:15")</f>
        <v>0</v>
      </c>
      <c r="Q25" s="251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1</v>
      </c>
      <c r="R25" s="251"/>
      <c r="S25" s="252"/>
      <c r="T25" s="438">
        <f>T24-L25</f>
        <v>1.96736111111111</v>
      </c>
      <c r="U25" s="373"/>
      <c r="V25" s="182">
        <v>0.36458333333333331</v>
      </c>
      <c r="W25" s="192">
        <v>45275</v>
      </c>
      <c r="X25" s="682"/>
      <c r="Y25" s="364" t="str">
        <f>IF(M25="O",P25 - AA25,"0:00:00")</f>
        <v>0:00:00</v>
      </c>
      <c r="Z25" s="365">
        <f>IF(M25="C",P25,"0:00:00")</f>
        <v>0</v>
      </c>
      <c r="AA25" s="143" t="str">
        <f>IF(P25="M",Q25-P25,"0:00:00")</f>
        <v>0:00:00</v>
      </c>
      <c r="AB25" s="159">
        <f>SUM(Y25:Z25)</f>
        <v>0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1.34375</v>
      </c>
      <c r="M26" s="396"/>
      <c r="N26" s="128"/>
      <c r="O26" s="129"/>
      <c r="P26" s="706">
        <f>SUM(P21:P25)</f>
        <v>1.34375</v>
      </c>
      <c r="Q26" s="707"/>
      <c r="R26" s="707"/>
      <c r="S26" s="707"/>
      <c r="T26" s="708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417"/>
      <c r="N27" s="130"/>
      <c r="O27" s="131"/>
      <c r="P27" s="426"/>
      <c r="Q27" s="338">
        <f>Q25</f>
        <v>1</v>
      </c>
      <c r="R27" s="338"/>
      <c r="S27" s="339"/>
      <c r="T27" s="427"/>
      <c r="U27" s="374"/>
      <c r="V27" s="35"/>
      <c r="W27" s="81"/>
      <c r="X27" s="148"/>
      <c r="Y27" s="160"/>
      <c r="Z27" s="161"/>
      <c r="AA27" s="162"/>
      <c r="AB27" s="163"/>
      <c r="AC27" s="146"/>
      <c r="AD27" s="149"/>
    </row>
    <row r="28" spans="1:30" ht="15.75" customHeight="1" thickBot="1" x14ac:dyDescent="0.25">
      <c r="A28" s="605">
        <v>46468</v>
      </c>
      <c r="B28" s="266">
        <v>0.30972222222222223</v>
      </c>
      <c r="C28" s="266">
        <v>0.48402777777777778</v>
      </c>
      <c r="D28" s="266">
        <v>0.49722222222222223</v>
      </c>
      <c r="E28" s="266"/>
      <c r="F28" s="266"/>
      <c r="G28" s="266"/>
      <c r="H28" s="266"/>
      <c r="I28" s="266">
        <v>0.62222222222222223</v>
      </c>
      <c r="J28" s="606">
        <f>F28-E28</f>
        <v>0</v>
      </c>
      <c r="K28" s="606">
        <f>IF((D28-C28)&lt;=$F$2,0,(D28-C28)-$F$2)</f>
        <v>0</v>
      </c>
      <c r="L28" s="607">
        <f>(I28-B28)-K28-(H28-G28)-J28</f>
        <v>0.3125</v>
      </c>
      <c r="M28" s="413" t="s">
        <v>45</v>
      </c>
      <c r="N28" s="211"/>
      <c r="O28" s="212"/>
      <c r="P28" s="428">
        <f>MROUND(L28,"0:15")</f>
        <v>0.3125</v>
      </c>
      <c r="Q28" s="98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1</v>
      </c>
      <c r="R28" s="98"/>
      <c r="S28" s="99"/>
      <c r="T28" s="436">
        <f>T25-L28</f>
        <v>1.65486111111111</v>
      </c>
      <c r="U28" s="100"/>
      <c r="V28" s="205">
        <v>0.30208333333333331</v>
      </c>
      <c r="W28" s="192">
        <v>45278</v>
      </c>
      <c r="X28" s="682"/>
      <c r="Y28" s="345">
        <f>IF(M28="O",P28 - AA28,"0:00:00")</f>
        <v>0.3125</v>
      </c>
      <c r="Z28" s="349" t="str">
        <f>IF(M28="C",P28,"0:00:00")</f>
        <v>0:00:00</v>
      </c>
      <c r="AA28" s="138" t="str">
        <f>IF(P28="M",Q28-P28,"0:00:00")</f>
        <v>0:00:00</v>
      </c>
      <c r="AB28" s="157">
        <f>SUM(Y28:Z28)</f>
        <v>0.3125</v>
      </c>
      <c r="AC28" s="106">
        <v>0.30208333333333331</v>
      </c>
      <c r="AD28" s="208" t="b">
        <f>V28=AC28</f>
        <v>1</v>
      </c>
    </row>
    <row r="29" spans="1:30" ht="13.5" customHeight="1" thickBot="1" x14ac:dyDescent="0.25">
      <c r="A29" s="605">
        <v>46469</v>
      </c>
      <c r="B29" s="266">
        <v>0.29930555555555555</v>
      </c>
      <c r="C29" s="266">
        <v>0.47916666666666669</v>
      </c>
      <c r="D29" s="266">
        <v>0.4916666666666667</v>
      </c>
      <c r="E29" s="266"/>
      <c r="F29" s="266"/>
      <c r="G29" s="266"/>
      <c r="H29" s="266"/>
      <c r="I29" s="266">
        <v>0.66388888888888886</v>
      </c>
      <c r="J29" s="606">
        <v>0</v>
      </c>
      <c r="K29" s="606">
        <f>IF((D29-C29)&lt;=$F$2,0,(D29-C29)-$F$2)</f>
        <v>0</v>
      </c>
      <c r="L29" s="607">
        <f>(I29-B29)-K29-(H29-G29)-J29</f>
        <v>0.36458333333333331</v>
      </c>
      <c r="M29" s="412" t="s">
        <v>53</v>
      </c>
      <c r="N29" s="211"/>
      <c r="O29" s="212"/>
      <c r="P29" s="428">
        <f>MROUND(L29,"0:15")</f>
        <v>0.36458333333333331</v>
      </c>
      <c r="Q29" s="95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1</v>
      </c>
      <c r="R29" s="95"/>
      <c r="S29" s="96"/>
      <c r="T29" s="422">
        <f>T28-L29</f>
        <v>1.2902777777777767</v>
      </c>
      <c r="U29" s="97"/>
      <c r="V29" s="206">
        <v>0</v>
      </c>
      <c r="W29" s="192">
        <v>45279</v>
      </c>
      <c r="X29" s="682"/>
      <c r="Y29" s="361" t="str">
        <f>IF(M29="O",P29 - AA29,"0:00:00")</f>
        <v>0:00:00</v>
      </c>
      <c r="Z29" s="152">
        <f>IF(M29="C",P29,"0:00:00")</f>
        <v>0.36458333333333331</v>
      </c>
      <c r="AA29" s="140" t="str">
        <f>IF(P29="M",Q29-P29,"0:00:00")</f>
        <v>0:00:00</v>
      </c>
      <c r="AB29" s="158">
        <f>SUM(Y29:Z29)</f>
        <v>0.36458333333333331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605">
        <v>46470</v>
      </c>
      <c r="B30" s="266">
        <v>0.30972222222222223</v>
      </c>
      <c r="C30" s="266">
        <v>0.47500000000000003</v>
      </c>
      <c r="D30" s="266">
        <v>0.48749999999999999</v>
      </c>
      <c r="E30" s="266"/>
      <c r="F30" s="266"/>
      <c r="G30" s="266"/>
      <c r="H30" s="266"/>
      <c r="I30" s="266">
        <v>0.62222222222222223</v>
      </c>
      <c r="J30" s="606">
        <f t="shared" ref="J30:J31" si="3">F30-E30</f>
        <v>0</v>
      </c>
      <c r="K30" s="606">
        <f>IF((D30-C30)&lt;=$F$2,0,(D30-C30)-$F$2)</f>
        <v>0</v>
      </c>
      <c r="L30" s="607">
        <f>(I30-B30)-K30-(H30-G30)-J30</f>
        <v>0.3125</v>
      </c>
      <c r="M30" s="412" t="s">
        <v>45</v>
      </c>
      <c r="N30" s="211"/>
      <c r="O30" s="212"/>
      <c r="P30" s="428">
        <f>MROUND(L30,"0:15")</f>
        <v>0.3125</v>
      </c>
      <c r="Q30" s="95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1</v>
      </c>
      <c r="R30" s="95"/>
      <c r="S30" s="96"/>
      <c r="T30" s="422">
        <f>T29-L30</f>
        <v>0.97777777777777675</v>
      </c>
      <c r="U30" s="97"/>
      <c r="V30" s="206">
        <v>0.35416666666666669</v>
      </c>
      <c r="W30" s="192">
        <v>45280</v>
      </c>
      <c r="X30" s="682"/>
      <c r="Y30" s="361">
        <f>IF(M30="O",P30 - AA30,"0:00:00")</f>
        <v>0.3125</v>
      </c>
      <c r="Z30" s="152" t="str">
        <f>IF(M30="C",P30,"0:00:00")</f>
        <v>0:00:00</v>
      </c>
      <c r="AA30" s="140" t="str">
        <f>IF(P30="M",Q30-P30,"0:00:00")</f>
        <v>0:00:00</v>
      </c>
      <c r="AB30" s="158">
        <f>SUM(Y30:Z30)</f>
        <v>0.3125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311">
        <v>46471</v>
      </c>
      <c r="B31" s="312"/>
      <c r="C31" s="312"/>
      <c r="D31" s="312"/>
      <c r="E31" s="312"/>
      <c r="F31" s="312"/>
      <c r="G31" s="312"/>
      <c r="H31" s="312"/>
      <c r="I31" s="312"/>
      <c r="J31" s="595">
        <f t="shared" si="3"/>
        <v>0</v>
      </c>
      <c r="K31" s="595">
        <f>IF((D31-C31)&lt;=$F$2,0,(D31-C31)-$F$2)</f>
        <v>0</v>
      </c>
      <c r="L31" s="596">
        <f>(I31-B31)-K31-(H31-G31)-J31</f>
        <v>0</v>
      </c>
      <c r="M31" s="413" t="s">
        <v>45</v>
      </c>
      <c r="N31" s="213"/>
      <c r="O31" s="214"/>
      <c r="P31" s="428">
        <f>MROUND(L31,"0:15")</f>
        <v>0</v>
      </c>
      <c r="Q31" s="95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1</v>
      </c>
      <c r="R31" s="95"/>
      <c r="S31" s="96"/>
      <c r="T31" s="422">
        <f>T30-L31</f>
        <v>0.97777777777777675</v>
      </c>
      <c r="U31" s="97"/>
      <c r="V31" s="206">
        <v>0.41666666666666669</v>
      </c>
      <c r="W31" s="192">
        <v>45281</v>
      </c>
      <c r="X31" s="682"/>
      <c r="Y31" s="361">
        <f>IF(M31="O",P31 - AA31,"0:00:00")</f>
        <v>0</v>
      </c>
      <c r="Z31" s="152" t="str">
        <f>IF(M31="C",P31,"0:00:00")</f>
        <v>0:00:00</v>
      </c>
      <c r="AA31" s="140" t="str">
        <f>IF(P31="M",Q31-P31,"0:00:00")</f>
        <v>0:00:00</v>
      </c>
      <c r="AB31" s="158">
        <f>SUM(Y31:Z31)</f>
        <v>0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311">
        <v>46472</v>
      </c>
      <c r="B32" s="312"/>
      <c r="C32" s="312"/>
      <c r="D32" s="312"/>
      <c r="E32" s="312"/>
      <c r="F32" s="312"/>
      <c r="G32" s="312"/>
      <c r="H32" s="312"/>
      <c r="I32" s="312"/>
      <c r="J32" s="595">
        <v>0</v>
      </c>
      <c r="K32" s="595">
        <f>IF((D32-C32)&lt;=$F$2,0,(D32-C32)-$F$2)</f>
        <v>0</v>
      </c>
      <c r="L32" s="596">
        <f>(I32-B32)-K32-(H32-G32)-J32</f>
        <v>0</v>
      </c>
      <c r="M32" s="414" t="s">
        <v>53</v>
      </c>
      <c r="N32" s="211"/>
      <c r="O32" s="212"/>
      <c r="P32" s="428">
        <f>MROUND(L32,"0:15")</f>
        <v>0</v>
      </c>
      <c r="Q32" s="95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1</v>
      </c>
      <c r="R32" s="95"/>
      <c r="S32" s="96"/>
      <c r="T32" s="422">
        <f>T31-L32</f>
        <v>0.97777777777777675</v>
      </c>
      <c r="U32" s="111"/>
      <c r="V32" s="78">
        <v>0.35416666666666669</v>
      </c>
      <c r="W32" s="192">
        <v>45282</v>
      </c>
      <c r="X32" s="682"/>
      <c r="Y32" s="361" t="str">
        <f>IF(M32="O",P32 - AA32,"0:00:00")</f>
        <v>0:00:00</v>
      </c>
      <c r="Z32" s="152">
        <f>IF(M32="C",P32,"0:00:00")</f>
        <v>0</v>
      </c>
      <c r="AA32" s="143" t="str">
        <f>IF(P32="M",Q32-P32,"0:00:00")</f>
        <v>0:00:00</v>
      </c>
      <c r="AB32" s="159">
        <f>SUM(Y32:Z32)</f>
        <v>0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0.98958333333333326</v>
      </c>
      <c r="M33" s="396"/>
      <c r="N33" s="128"/>
      <c r="O33" s="129"/>
      <c r="P33" s="706">
        <f>SUM(P28:P32)</f>
        <v>0.98958333333333326</v>
      </c>
      <c r="Q33" s="707"/>
      <c r="R33" s="707"/>
      <c r="S33" s="707"/>
      <c r="T33" s="708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418"/>
      <c r="N34" s="130"/>
      <c r="O34" s="131"/>
      <c r="P34" s="426"/>
      <c r="Q34" s="377">
        <f>Q32</f>
        <v>1</v>
      </c>
      <c r="R34" s="377"/>
      <c r="S34" s="378"/>
      <c r="T34" s="439"/>
      <c r="U34" s="374"/>
      <c r="V34" s="35"/>
      <c r="W34" s="82"/>
      <c r="X34" s="148"/>
      <c r="Y34" s="160"/>
      <c r="Z34" s="161"/>
      <c r="AA34" s="162"/>
      <c r="AB34" s="163"/>
      <c r="AC34" s="146"/>
      <c r="AD34" s="149"/>
    </row>
    <row r="35" spans="1:30" ht="12.75" customHeight="1" thickBot="1" x14ac:dyDescent="0.25">
      <c r="A35" s="605">
        <v>46475</v>
      </c>
      <c r="B35" s="266">
        <v>0.30972222222222223</v>
      </c>
      <c r="C35" s="266">
        <v>0.48402777777777778</v>
      </c>
      <c r="D35" s="266">
        <v>0.49722222222222223</v>
      </c>
      <c r="E35" s="266"/>
      <c r="F35" s="266"/>
      <c r="G35" s="266"/>
      <c r="H35" s="266"/>
      <c r="I35" s="266">
        <v>0.62222222222222223</v>
      </c>
      <c r="J35" s="606">
        <v>0</v>
      </c>
      <c r="K35" s="606">
        <f>IF((D35-C35)&lt;=$F$2,0,(D35-C35)-$F$2)</f>
        <v>0</v>
      </c>
      <c r="L35" s="607">
        <f>(I35-B35)-K35-(H35-G35)-J35</f>
        <v>0.3125</v>
      </c>
      <c r="M35" s="412" t="s">
        <v>45</v>
      </c>
      <c r="N35" s="315"/>
      <c r="O35" s="212"/>
      <c r="P35" s="440">
        <f>MROUND(L35,"0:15")</f>
        <v>0.3125</v>
      </c>
      <c r="Q35" s="98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1</v>
      </c>
      <c r="R35" s="98"/>
      <c r="S35" s="99"/>
      <c r="T35" s="436">
        <f>T32-L35</f>
        <v>0.66527777777777675</v>
      </c>
      <c r="U35" s="100"/>
      <c r="V35" s="151">
        <v>0.33333333333333331</v>
      </c>
      <c r="W35" s="192">
        <v>45285</v>
      </c>
      <c r="X35" s="709"/>
      <c r="Y35" s="345">
        <f>IF(M35="O",P35 - AA35,"0:00:00")</f>
        <v>0.3125</v>
      </c>
      <c r="Z35" s="349" t="str">
        <f t="shared" ref="Z35:Z39" si="4">IF(M35="C",P35,"0:00:00")</f>
        <v>0:00:00</v>
      </c>
      <c r="AA35" s="138" t="str">
        <f>IF(P35="M",Q35-P35,"0:00:00")</f>
        <v>0:00:00</v>
      </c>
      <c r="AB35" s="157">
        <f>SUM(Y35:Z35)</f>
        <v>0.3125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605">
        <v>46476</v>
      </c>
      <c r="B36" s="266">
        <v>0.33333333333333331</v>
      </c>
      <c r="C36" s="266">
        <v>0.47916666666666669</v>
      </c>
      <c r="D36" s="266">
        <v>0.4916666666666667</v>
      </c>
      <c r="E36" s="266"/>
      <c r="F36" s="266"/>
      <c r="G36" s="266"/>
      <c r="H36" s="266"/>
      <c r="I36" s="266">
        <v>0.71875</v>
      </c>
      <c r="J36" s="606">
        <f>IF((F36-E36)&lt;$F$1,$F$1,F36-E36)</f>
        <v>2.0833333333333329E-2</v>
      </c>
      <c r="K36" s="606">
        <f>IF((D36-C36)&lt;=$F$2,0,(D36-C36)-$F$2)</f>
        <v>0</v>
      </c>
      <c r="L36" s="607">
        <f>(I36-B36)-K36-(H36-G36)-J36</f>
        <v>0.36458333333333337</v>
      </c>
      <c r="M36" s="585" t="s">
        <v>53</v>
      </c>
      <c r="N36" s="315"/>
      <c r="O36" s="212"/>
      <c r="P36" s="440">
        <f t="shared" ref="P36:P37" si="5">MROUND(L36,"0:15")</f>
        <v>0.36458333333333331</v>
      </c>
      <c r="Q36" s="95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1</v>
      </c>
      <c r="R36" s="95"/>
      <c r="S36" s="96"/>
      <c r="T36" s="422">
        <f>T35-L36</f>
        <v>0.30069444444444338</v>
      </c>
      <c r="U36" s="97"/>
      <c r="V36" s="77">
        <v>0.45833333333333331</v>
      </c>
      <c r="W36" s="192">
        <v>45286</v>
      </c>
      <c r="X36" s="709"/>
      <c r="Y36" s="361" t="str">
        <f>IF(M36="O",P36 - AA36,"0:00:00")</f>
        <v>0:00:00</v>
      </c>
      <c r="Z36" s="152">
        <f t="shared" si="4"/>
        <v>0.36458333333333331</v>
      </c>
      <c r="AA36" s="140" t="str">
        <f>IF(P36="M",Q36-P36,"0:00:00")</f>
        <v>0:00:00</v>
      </c>
      <c r="AB36" s="158">
        <f>SUM(Y36:Z36)</f>
        <v>0.36458333333333331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605">
        <v>46477</v>
      </c>
      <c r="B37" s="266">
        <v>0.30972222222222223</v>
      </c>
      <c r="C37" s="266">
        <v>0.47916666666666669</v>
      </c>
      <c r="D37" s="266">
        <v>0.4916666666666667</v>
      </c>
      <c r="E37" s="266"/>
      <c r="F37" s="266"/>
      <c r="G37" s="266"/>
      <c r="H37" s="266"/>
      <c r="I37" s="266">
        <v>0.6430555555555556</v>
      </c>
      <c r="J37" s="606">
        <v>0</v>
      </c>
      <c r="K37" s="606">
        <f>IF((D37-C37)&lt;=$F$2,0,(D37-C37)-$F$2)</f>
        <v>0</v>
      </c>
      <c r="L37" s="607">
        <f>(I37-B37)-K37-(H37-G37)-J37</f>
        <v>0.33333333333333337</v>
      </c>
      <c r="M37" s="585" t="s">
        <v>45</v>
      </c>
      <c r="N37" s="315"/>
      <c r="O37" s="212"/>
      <c r="P37" s="440">
        <f t="shared" si="5"/>
        <v>0.33333333333333331</v>
      </c>
      <c r="Q37" s="95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1</v>
      </c>
      <c r="R37" s="95"/>
      <c r="S37" s="96"/>
      <c r="T37" s="422">
        <f>T36-L37</f>
        <v>-3.2638888888889994E-2</v>
      </c>
      <c r="U37" s="97"/>
      <c r="V37" s="77">
        <v>0.33333333333333331</v>
      </c>
      <c r="W37" s="192">
        <v>45287</v>
      </c>
      <c r="X37" s="709"/>
      <c r="Y37" s="361">
        <f>IF(M37="O",P37 - AA37,"0:00:00")</f>
        <v>0.33333333333333331</v>
      </c>
      <c r="Z37" s="152" t="str">
        <f t="shared" si="4"/>
        <v>0:00:00</v>
      </c>
      <c r="AA37" s="140" t="str">
        <f>IF(P37="M",Q37-P37,"0:00:00")</f>
        <v>0:00:00</v>
      </c>
      <c r="AB37" s="158">
        <f>SUM(Y37:Z37)</f>
        <v>0.33333333333333331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592"/>
      <c r="B38" s="588"/>
      <c r="C38" s="588"/>
      <c r="D38" s="588"/>
      <c r="E38" s="588"/>
      <c r="F38" s="588"/>
      <c r="G38" s="588"/>
      <c r="H38" s="588"/>
      <c r="I38" s="588"/>
      <c r="J38" s="588"/>
      <c r="K38" s="588"/>
      <c r="L38" s="594"/>
      <c r="M38" s="585"/>
      <c r="N38" s="316"/>
      <c r="O38" s="214"/>
      <c r="P38" s="441">
        <f>TIME(MID(TEXT(L38,"hh:mm:ss"),1,2), IF(ABS((MID(TEXT(L38,"hh:mm:ss"),4,2)+Q37)-FLOOR((MID(TEXT(L38,"hh:mm:ss"),4,2)+Q37),15))&gt;=ABS((MID(TEXT(L38,"hh:mm:ss"),4,2)+Q37)-CEILING((MID(TEXT(L38,"hh:mm:ss"),4,2)+Q37),15)),CEILING((MID(TEXT(L38,"hh:mm:ss"),4,2)+Q37),15),FLOOR((MID(TEXT(L38,"hh:mm:ss"),4,2)+Q37),15)), MID(TEXT(L38,"hh:mm:ss"),7,2))</f>
        <v>0</v>
      </c>
      <c r="Q38" s="101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1</v>
      </c>
      <c r="R38" s="101"/>
      <c r="S38" s="102"/>
      <c r="T38" s="442">
        <f>T37-L38</f>
        <v>-3.2638888888889994E-2</v>
      </c>
      <c r="U38" s="97"/>
      <c r="V38" s="77">
        <v>0.45833333333333331</v>
      </c>
      <c r="W38" s="192">
        <v>45288</v>
      </c>
      <c r="X38" s="709"/>
      <c r="Y38" s="361" t="str">
        <f>IF(M38="O",P38 - AA38,"0:00:00")</f>
        <v>0:00:00</v>
      </c>
      <c r="Z38" s="152" t="str">
        <f t="shared" si="4"/>
        <v>0:00:00</v>
      </c>
      <c r="AA38" s="140" t="str">
        <f>IF(P38="M",Q38-P38,"0:00:00")</f>
        <v>0:00:00</v>
      </c>
      <c r="AB38" s="158">
        <f>SUM(Y38:Z38)</f>
        <v>0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592"/>
      <c r="B39" s="588"/>
      <c r="C39" s="588"/>
      <c r="D39" s="588"/>
      <c r="E39" s="588"/>
      <c r="F39" s="588"/>
      <c r="G39" s="588"/>
      <c r="H39" s="588"/>
      <c r="I39" s="588"/>
      <c r="J39" s="588"/>
      <c r="K39" s="588"/>
      <c r="L39" s="594"/>
      <c r="M39" s="586"/>
      <c r="N39" s="315"/>
      <c r="O39" s="212"/>
      <c r="P39" s="441">
        <f>TIME(MID(TEXT(L39,"hh:mm:ss"),1,2), IF(ABS((MID(TEXT(L39,"hh:mm:ss"),4,2)+Q38)-FLOOR((MID(TEXT(L39,"hh:mm:ss"),4,2)+Q38),15))&gt;=ABS((MID(TEXT(L39,"hh:mm:ss"),4,2)+Q38)-CEILING((MID(TEXT(L39,"hh:mm:ss"),4,2)+Q38),15)),CEILING((MID(TEXT(L39,"hh:mm:ss"),4,2)+Q38),15),FLOOR((MID(TEXT(L39,"hh:mm:ss"),4,2)+Q38),15)), MID(TEXT(L39,"hh:mm:ss"),7,2))</f>
        <v>0</v>
      </c>
      <c r="Q39" s="92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92"/>
      <c r="S39" s="93"/>
      <c r="T39" s="443">
        <f>T38-L39</f>
        <v>-3.2638888888889994E-2</v>
      </c>
      <c r="U39" s="94"/>
      <c r="V39" s="78"/>
      <c r="W39" s="192">
        <v>45289</v>
      </c>
      <c r="X39" s="709"/>
      <c r="Y39" s="142" t="str">
        <f>IF(M39="O",P39 - AA39,"0:00:00")</f>
        <v>0:00:00</v>
      </c>
      <c r="Z39" s="140" t="str">
        <f t="shared" si="4"/>
        <v>0:00:00</v>
      </c>
      <c r="AA39" s="152" t="str">
        <f>IF(P39="M",Q39-P39,"0:00:00")</f>
        <v>0:00:00</v>
      </c>
      <c r="AB39" s="164">
        <f>SUM(Y39:Z39)</f>
        <v>0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419">
        <f>SUM(L35:L39)</f>
        <v>1.0104166666666667</v>
      </c>
      <c r="M40" s="406"/>
      <c r="N40" s="132"/>
      <c r="O40" s="133"/>
      <c r="P40" s="444">
        <f>SUM(P35:P39)</f>
        <v>1.0104166666666665</v>
      </c>
      <c r="Q40" s="63"/>
      <c r="R40" s="63"/>
      <c r="S40" s="63"/>
      <c r="T40" s="63"/>
      <c r="U40" s="387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41"/>
      <c r="B42" s="42"/>
      <c r="C42" s="42"/>
      <c r="D42" s="42"/>
      <c r="E42" s="42"/>
      <c r="F42" s="42"/>
      <c r="G42" s="42"/>
      <c r="H42" s="42"/>
      <c r="I42" s="42"/>
      <c r="J42" s="43"/>
      <c r="K42" s="43"/>
      <c r="L42" s="44"/>
      <c r="M42" s="67"/>
      <c r="N42" s="67"/>
      <c r="O42" s="67"/>
      <c r="X42" s="148"/>
      <c r="Y42" s="168">
        <f>SUM(Y7:Y11,Y14:Y18,Y21:Y25,Y28:Y32,Y35:Y39)</f>
        <v>3.4791666666666665</v>
      </c>
      <c r="Z42" s="169">
        <f>SUM(Z7:Z11,Z14:Z18,Z21:Z25,Z28:Z32,Z35:Z39)</f>
        <v>3.2187500000000004</v>
      </c>
      <c r="AA42" s="169">
        <f>SUM(AA7:AA11,AA14:AA18,AA21:AA25,AA28:AA32,AA35:AA39)</f>
        <v>0</v>
      </c>
      <c r="AB42" s="170">
        <f>SUM(AB7:AB11,AB14:AB18,AB21:AB25,AB28:AB32,AB35:AB39)</f>
        <v>6.6979166666666652</v>
      </c>
      <c r="AC42" s="109"/>
      <c r="AD42" s="154"/>
    </row>
    <row r="43" spans="1:30" ht="13.5" thickBot="1" x14ac:dyDescent="0.25">
      <c r="A43" s="46" t="s">
        <v>24</v>
      </c>
      <c r="B43" s="47"/>
      <c r="C43" s="47"/>
      <c r="D43" s="47"/>
      <c r="E43" s="47"/>
      <c r="F43" s="47"/>
      <c r="G43" s="47"/>
      <c r="H43" s="47"/>
      <c r="I43" s="47"/>
      <c r="J43" s="48"/>
      <c r="K43" s="48"/>
      <c r="L43" s="49">
        <f>SUM(L33,L26,L19,L12,L40)</f>
        <v>6.697916666666667</v>
      </c>
      <c r="M43" s="185"/>
      <c r="N43" s="185"/>
      <c r="O43" s="185"/>
      <c r="P43" s="83">
        <f>SUM(P12,P19,P26,P33,P40)</f>
        <v>6.6979166666666661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0.51944012441679621</v>
      </c>
      <c r="Z44" s="155">
        <f>Z42/C47</f>
        <v>0.48055987558320379</v>
      </c>
      <c r="AA44" s="156">
        <f>AA42/C47</f>
        <v>0</v>
      </c>
      <c r="AB44" s="180">
        <f>SUM(Y44:AA44)</f>
        <v>1</v>
      </c>
    </row>
    <row r="45" spans="1:30" ht="18.75" thickBot="1" x14ac:dyDescent="0.25">
      <c r="A45" s="15"/>
      <c r="B45" s="16"/>
      <c r="C45" s="16"/>
      <c r="D45" s="16"/>
      <c r="E45" s="16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40" t="s">
        <v>25</v>
      </c>
      <c r="B46" s="741"/>
      <c r="C46" s="18">
        <f>J1*J2</f>
        <v>6.6666666666666661</v>
      </c>
      <c r="D46" s="18"/>
      <c r="E46" s="18"/>
      <c r="F46" s="19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0"/>
      <c r="B47" s="263" t="s">
        <v>26</v>
      </c>
      <c r="C47" s="22">
        <f>L43</f>
        <v>6.697916666666667</v>
      </c>
      <c r="D47" s="22"/>
      <c r="E47" s="22"/>
      <c r="F47" s="23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0"/>
      <c r="B48" s="263" t="s">
        <v>27</v>
      </c>
      <c r="C48" s="18" t="str">
        <f>IF(C46&gt;C47,C46-C47,"00:00:00")</f>
        <v>00:00:00</v>
      </c>
      <c r="D48" s="22"/>
      <c r="E48" s="22"/>
      <c r="F48" s="24"/>
      <c r="K48" s="35"/>
      <c r="P48" s="215"/>
      <c r="Q48" s="216"/>
      <c r="R48" s="216"/>
      <c r="S48" s="216"/>
      <c r="T48" s="264"/>
      <c r="U48" s="216"/>
    </row>
    <row r="49" spans="1:30" ht="13.5" thickBot="1" x14ac:dyDescent="0.25">
      <c r="A49" s="20"/>
      <c r="B49" s="263" t="s">
        <v>28</v>
      </c>
      <c r="C49" s="18">
        <f>IF(C47&gt;C46,C47-C46,"00:00:00")</f>
        <v>3.1250000000000888E-2</v>
      </c>
      <c r="D49" s="25"/>
      <c r="E49" s="26" t="s">
        <v>29</v>
      </c>
      <c r="F49" s="19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15"/>
      <c r="B50" s="16"/>
      <c r="C50" s="16"/>
      <c r="D50" s="16"/>
      <c r="E50" s="16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0"/>
      <c r="B51" s="263" t="s">
        <v>30</v>
      </c>
      <c r="C51" s="68">
        <v>0</v>
      </c>
      <c r="D51" s="18"/>
      <c r="E51" s="27" t="s">
        <v>31</v>
      </c>
      <c r="F51" s="28" t="str">
        <f>IF(C51&gt;C52,C51-C52,"00:00:00")</f>
        <v>00:00:00</v>
      </c>
    </row>
    <row r="52" spans="1:30" ht="13.5" thickBot="1" x14ac:dyDescent="0.25">
      <c r="A52" s="20"/>
      <c r="B52" s="263" t="s">
        <v>32</v>
      </c>
      <c r="C52" s="68">
        <v>0</v>
      </c>
      <c r="D52" s="18"/>
      <c r="E52" s="27" t="s">
        <v>33</v>
      </c>
      <c r="F52" s="28" t="str">
        <f>IF(C52&gt;C51,C52-C51,"00:00:00")</f>
        <v>00:00:00</v>
      </c>
    </row>
    <row r="53" spans="1:30" ht="13.5" thickBot="1" x14ac:dyDescent="0.25">
      <c r="A53" s="712" t="s">
        <v>34</v>
      </c>
      <c r="B53" s="736"/>
      <c r="C53" s="38">
        <f>Horas!L3-Marzo!J1</f>
        <v>0</v>
      </c>
      <c r="D53" s="737" t="s">
        <v>35</v>
      </c>
      <c r="E53" s="737"/>
      <c r="F53" s="39">
        <v>0</v>
      </c>
      <c r="P53" s="66"/>
      <c r="Q53" s="2"/>
      <c r="R53" s="2"/>
    </row>
    <row r="54" spans="1:30" ht="13.5" thickBot="1" x14ac:dyDescent="0.25">
      <c r="A54" s="715" t="s">
        <v>36</v>
      </c>
      <c r="B54" s="738"/>
      <c r="C54" s="36">
        <v>0</v>
      </c>
      <c r="D54" s="739" t="s">
        <v>37</v>
      </c>
      <c r="E54" s="739"/>
      <c r="F54" s="37">
        <v>0</v>
      </c>
      <c r="P54" s="66"/>
      <c r="Q54" s="2"/>
      <c r="R54" s="2"/>
    </row>
    <row r="55" spans="1:30" ht="13.5" thickBot="1" x14ac:dyDescent="0.25">
      <c r="A55" s="15"/>
      <c r="B55" s="16"/>
      <c r="C55" s="16"/>
      <c r="D55" s="16"/>
      <c r="E55" s="16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A54:B54"/>
    <mergeCell ref="D54:E54"/>
    <mergeCell ref="A46:B46"/>
    <mergeCell ref="Q46:Q47"/>
    <mergeCell ref="R46:R47"/>
    <mergeCell ref="S46:S47"/>
    <mergeCell ref="T46:T47"/>
    <mergeCell ref="A53:B53"/>
    <mergeCell ref="D53:E53"/>
    <mergeCell ref="P19:T19"/>
    <mergeCell ref="X21:X25"/>
    <mergeCell ref="P26:T26"/>
    <mergeCell ref="X28:X32"/>
    <mergeCell ref="P33:T33"/>
    <mergeCell ref="X35:X39"/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</mergeCells>
  <pageMargins left="0.75" right="0.75" top="1" bottom="1" header="0" footer="0"/>
  <pageSetup paperSize="9" scale="76" fitToWidth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E59"/>
  <sheetViews>
    <sheetView zoomScaleNormal="100" workbookViewId="0">
      <pane ySplit="6" topLeftCell="A7" activePane="bottomLeft" state="frozen"/>
      <selection pane="bottomLeft" activeCell="P35" sqref="P35:P39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5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31" t="s">
        <v>0</v>
      </c>
      <c r="B1" s="726" t="s">
        <v>38</v>
      </c>
      <c r="C1" s="727"/>
      <c r="D1" s="728"/>
      <c r="E1" s="29" t="s">
        <v>1</v>
      </c>
      <c r="F1" s="10">
        <v>2.0833333333333329E-2</v>
      </c>
      <c r="I1" s="6" t="s">
        <v>2</v>
      </c>
      <c r="J1" s="7">
        <v>22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32" t="s">
        <v>3</v>
      </c>
      <c r="B2" s="729"/>
      <c r="C2" s="730"/>
      <c r="D2" s="731"/>
      <c r="E2" s="30" t="s">
        <v>4</v>
      </c>
      <c r="F2" s="11">
        <v>1.3888888888888888E-2</v>
      </c>
      <c r="I2" s="8" t="s">
        <v>5</v>
      </c>
      <c r="J2" s="9">
        <v>0.33333333333333331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33" t="s">
        <v>6</v>
      </c>
      <c r="B3" s="732">
        <v>46478</v>
      </c>
      <c r="C3" s="733"/>
      <c r="D3" s="734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07"/>
      <c r="M4" s="506"/>
      <c r="N4" s="735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329" t="s">
        <v>7</v>
      </c>
      <c r="B5" s="330" t="s">
        <v>8</v>
      </c>
      <c r="C5" s="330" t="s">
        <v>9</v>
      </c>
      <c r="D5" s="330" t="s">
        <v>10</v>
      </c>
      <c r="E5" s="330" t="s">
        <v>11</v>
      </c>
      <c r="F5" s="330" t="s">
        <v>12</v>
      </c>
      <c r="G5" s="330" t="s">
        <v>13</v>
      </c>
      <c r="H5" s="330" t="s">
        <v>14</v>
      </c>
      <c r="I5" s="330" t="s">
        <v>15</v>
      </c>
      <c r="J5" s="330" t="s">
        <v>16</v>
      </c>
      <c r="K5" s="330" t="s">
        <v>17</v>
      </c>
      <c r="L5" s="331" t="s">
        <v>18</v>
      </c>
      <c r="M5" s="394" t="s">
        <v>44</v>
      </c>
      <c r="N5" s="332" t="s">
        <v>12</v>
      </c>
      <c r="O5" s="333" t="s">
        <v>15</v>
      </c>
      <c r="T5" s="55">
        <f>C46</f>
        <v>7.333333333333333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334"/>
      <c r="B6" s="327"/>
      <c r="C6" s="327"/>
      <c r="D6" s="327"/>
      <c r="E6" s="327"/>
      <c r="F6" s="327"/>
      <c r="G6" s="327"/>
      <c r="H6" s="327"/>
      <c r="I6" s="327"/>
      <c r="J6" s="328"/>
      <c r="K6" s="328"/>
      <c r="L6" s="390"/>
      <c r="M6" s="411"/>
      <c r="N6" s="130"/>
      <c r="O6" s="131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620" t="s">
        <v>49</v>
      </c>
      <c r="AA6" s="620" t="s">
        <v>50</v>
      </c>
      <c r="AB6" s="621" t="s">
        <v>51</v>
      </c>
      <c r="AC6" s="104"/>
      <c r="AD6" s="186"/>
    </row>
    <row r="7" spans="1:31" ht="12.75" customHeight="1" thickBot="1" x14ac:dyDescent="0.25">
      <c r="A7" s="592"/>
      <c r="B7" s="588"/>
      <c r="C7" s="588"/>
      <c r="D7" s="588"/>
      <c r="E7" s="600"/>
      <c r="F7" s="600"/>
      <c r="G7" s="588"/>
      <c r="H7" s="588"/>
      <c r="I7" s="588"/>
      <c r="J7" s="588"/>
      <c r="K7" s="588"/>
      <c r="L7" s="594"/>
      <c r="M7" s="412" t="s">
        <v>45</v>
      </c>
      <c r="N7" s="219"/>
      <c r="O7" s="212"/>
      <c r="P7" s="420">
        <f>MROUND(L7,"0:15")</f>
        <v>0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1</v>
      </c>
      <c r="R7" s="71"/>
      <c r="S7" s="72"/>
      <c r="T7" s="421">
        <f>T5-L7</f>
        <v>7.333333333333333</v>
      </c>
      <c r="U7" s="74"/>
      <c r="V7" s="76">
        <v>0</v>
      </c>
      <c r="W7" s="192"/>
      <c r="X7" s="701"/>
      <c r="Y7" s="142">
        <f>IF(M7="O",P7 - AA7,"0:00:00")</f>
        <v>0</v>
      </c>
      <c r="Z7" s="138" t="str">
        <f>IF(M7="C",P7,"0:00:00")</f>
        <v>0:00:00</v>
      </c>
      <c r="AA7" s="138" t="str">
        <f>IF(P7="M",Q7-P7,"0:00:00")</f>
        <v>0:00:00</v>
      </c>
      <c r="AB7" s="157">
        <f>SUM(Y7:Z7)</f>
        <v>0</v>
      </c>
      <c r="AC7" s="139">
        <v>0</v>
      </c>
      <c r="AD7" s="188"/>
      <c r="AE7" s="256"/>
    </row>
    <row r="8" spans="1:31" ht="12.75" customHeight="1" thickBot="1" x14ac:dyDescent="0.25">
      <c r="A8" s="592"/>
      <c r="B8" s="588"/>
      <c r="C8" s="588"/>
      <c r="D8" s="588"/>
      <c r="E8" s="588"/>
      <c r="F8" s="588"/>
      <c r="G8" s="588"/>
      <c r="H8" s="588"/>
      <c r="I8" s="588"/>
      <c r="J8" s="588"/>
      <c r="K8" s="588"/>
      <c r="L8" s="594"/>
      <c r="M8" s="412" t="s">
        <v>53</v>
      </c>
      <c r="N8" s="315"/>
      <c r="O8" s="212"/>
      <c r="P8" s="420">
        <f>MROUND(L8,"0:15")</f>
        <v>0</v>
      </c>
      <c r="Q8" s="95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1</v>
      </c>
      <c r="R8" s="95"/>
      <c r="S8" s="96"/>
      <c r="T8" s="422">
        <f>T7-L8</f>
        <v>7.333333333333333</v>
      </c>
      <c r="U8" s="97"/>
      <c r="V8" s="77">
        <v>0</v>
      </c>
      <c r="W8" s="193"/>
      <c r="X8" s="689"/>
      <c r="Y8" s="142" t="str">
        <f>IF(M8="O",P8 - AA8,"0:00:00")</f>
        <v>0:00:00</v>
      </c>
      <c r="Z8" s="140">
        <f>IF(M8="C",P8,"0:00:00")</f>
        <v>0</v>
      </c>
      <c r="AA8" s="140">
        <v>0</v>
      </c>
      <c r="AB8" s="158">
        <f>SUM(Y8:Z8)</f>
        <v>0</v>
      </c>
      <c r="AC8" s="141">
        <v>0</v>
      </c>
      <c r="AD8" s="189"/>
    </row>
    <row r="9" spans="1:31" s="1" customFormat="1" ht="12.75" customHeight="1" thickBot="1" x14ac:dyDescent="0.25">
      <c r="A9" s="592"/>
      <c r="B9" s="588"/>
      <c r="C9" s="588"/>
      <c r="D9" s="588"/>
      <c r="E9" s="588"/>
      <c r="F9" s="588"/>
      <c r="G9" s="588"/>
      <c r="H9" s="588"/>
      <c r="I9" s="588"/>
      <c r="J9" s="588"/>
      <c r="K9" s="588"/>
      <c r="L9" s="594"/>
      <c r="M9" s="413" t="s">
        <v>45</v>
      </c>
      <c r="N9" s="315"/>
      <c r="O9" s="212"/>
      <c r="P9" s="420">
        <f>MROUND(L9,"0:15")</f>
        <v>0</v>
      </c>
      <c r="Q9" s="8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1</v>
      </c>
      <c r="R9" s="84"/>
      <c r="S9" s="85"/>
      <c r="T9" s="423">
        <f>T8-L9</f>
        <v>7.333333333333333</v>
      </c>
      <c r="U9" s="366"/>
      <c r="V9" s="182">
        <v>0</v>
      </c>
      <c r="W9" s="194"/>
      <c r="X9" s="689"/>
      <c r="Y9" s="375">
        <f>IF(M9="O",P9 - AA9,"0:00:00")</f>
        <v>0</v>
      </c>
      <c r="Z9" s="376" t="str">
        <f>IF(M9="C",P9,"0:00:00")</f>
        <v>0:00:00</v>
      </c>
      <c r="AA9" s="367" t="str">
        <f>IF(P9="M",Q9-P9,"0:00:00")</f>
        <v>0:00:00</v>
      </c>
      <c r="AB9" s="368">
        <f>SUM(Y9:Z9)</f>
        <v>0</v>
      </c>
      <c r="AC9" s="195">
        <v>0</v>
      </c>
      <c r="AD9" s="196" t="b">
        <f>V9=AC9</f>
        <v>1</v>
      </c>
    </row>
    <row r="10" spans="1:31" ht="12.75" customHeight="1" thickBot="1" x14ac:dyDescent="0.25">
      <c r="A10" s="605">
        <v>46478</v>
      </c>
      <c r="B10" s="608">
        <v>0.30972222222222223</v>
      </c>
      <c r="C10" s="608">
        <v>0.47083333333333338</v>
      </c>
      <c r="D10" s="608">
        <v>0.48402777777777778</v>
      </c>
      <c r="E10" s="608"/>
      <c r="F10" s="608"/>
      <c r="G10" s="608"/>
      <c r="H10" s="608"/>
      <c r="I10" s="608">
        <v>0.62152777777777779</v>
      </c>
      <c r="J10" s="609">
        <f t="shared" ref="J10" si="0">F10-E10</f>
        <v>0</v>
      </c>
      <c r="K10" s="609">
        <f>IF((D10-C10)&lt;=$F$2,0,(D10-C10)-$F$2)</f>
        <v>0</v>
      </c>
      <c r="L10" s="610">
        <f>(I10-B10)-K10-(H10-G10)-J10</f>
        <v>0.31180555555555556</v>
      </c>
      <c r="M10" s="413" t="s">
        <v>45</v>
      </c>
      <c r="N10" s="316"/>
      <c r="O10" s="214"/>
      <c r="P10" s="420">
        <f>MROUND(L10,"0:15")</f>
        <v>0.3125</v>
      </c>
      <c r="Q10" s="8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0</v>
      </c>
      <c r="R10" s="84"/>
      <c r="S10" s="85"/>
      <c r="T10" s="423">
        <f>T9-L10</f>
        <v>7.0215277777777771</v>
      </c>
      <c r="U10" s="366"/>
      <c r="V10" s="182">
        <v>0.45833333333333331</v>
      </c>
      <c r="W10" s="194"/>
      <c r="X10" s="689"/>
      <c r="Y10" s="142">
        <f>IF(M10="O",P10 - AA10,"0:00:00")</f>
        <v>0.3125</v>
      </c>
      <c r="Z10" s="379" t="str">
        <f>IF(M10="C",P10,"0:00:00")</f>
        <v>0:00:00</v>
      </c>
      <c r="AA10" s="140" t="str">
        <f>IF(P10="M",Q10-P10,"0:00:00")</f>
        <v>0:00:00</v>
      </c>
      <c r="AB10" s="158">
        <f>SUM(Y10:Z10)</f>
        <v>0.3125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605">
        <v>46479</v>
      </c>
      <c r="B11" s="608">
        <v>0.30208333333333331</v>
      </c>
      <c r="C11" s="608">
        <v>0.46388888888888885</v>
      </c>
      <c r="D11" s="608">
        <v>0.4777777777777778</v>
      </c>
      <c r="E11" s="608"/>
      <c r="F11" s="608"/>
      <c r="G11" s="608"/>
      <c r="H11" s="608"/>
      <c r="I11" s="608">
        <v>0.65694444444444444</v>
      </c>
      <c r="J11" s="609">
        <v>0</v>
      </c>
      <c r="K11" s="609">
        <f>IF((D11-C11)&lt;=$F$2,0,(D11-C11)-$F$2)</f>
        <v>6.2450045135165055E-17</v>
      </c>
      <c r="L11" s="610">
        <f>(I11-B11)-K11-(H11-G11)-J11</f>
        <v>0.35486111111111107</v>
      </c>
      <c r="M11" s="414" t="s">
        <v>53</v>
      </c>
      <c r="N11" s="315"/>
      <c r="O11" s="212"/>
      <c r="P11" s="424">
        <f>MROUND(L11,"0:15")</f>
        <v>0.35416666666666663</v>
      </c>
      <c r="Q11" s="382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1</v>
      </c>
      <c r="R11" s="382"/>
      <c r="S11" s="383"/>
      <c r="T11" s="425">
        <f>T10-L11</f>
        <v>6.6666666666666661</v>
      </c>
      <c r="U11" s="369"/>
      <c r="V11" s="182">
        <v>0.29166666666666669</v>
      </c>
      <c r="W11" s="194">
        <v>45261</v>
      </c>
      <c r="X11" s="702"/>
      <c r="Y11" s="361" t="str">
        <f>IF(M11="O",P11 - AA11,"0:00:00")</f>
        <v>0:00:00</v>
      </c>
      <c r="Z11" s="379">
        <f>IF(M11="C",P11,"0:00:00")</f>
        <v>0.35416666666666663</v>
      </c>
      <c r="AA11" s="143" t="str">
        <f>IF(P11="M",Q11-P11,"0:00:00")</f>
        <v>0:00:00</v>
      </c>
      <c r="AB11" s="159">
        <f>SUM(Y11:Z11)</f>
        <v>0.35416666666666663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0.66666666666666663</v>
      </c>
      <c r="M12" s="396"/>
      <c r="N12" s="128"/>
      <c r="O12" s="129"/>
      <c r="P12" s="706">
        <f>SUM(P7:P11)</f>
        <v>0.66666666666666663</v>
      </c>
      <c r="Q12" s="707"/>
      <c r="R12" s="707"/>
      <c r="S12" s="707"/>
      <c r="T12" s="708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415"/>
      <c r="N13" s="130"/>
      <c r="O13" s="131"/>
      <c r="P13" s="426"/>
      <c r="Q13" s="338">
        <f>Q11</f>
        <v>1</v>
      </c>
      <c r="R13" s="338"/>
      <c r="S13" s="339"/>
      <c r="T13" s="427"/>
      <c r="U13" s="374"/>
      <c r="V13" s="35"/>
      <c r="W13" s="69"/>
      <c r="X13" s="148"/>
      <c r="Y13" s="160"/>
      <c r="Z13" s="161"/>
      <c r="AA13" s="162"/>
      <c r="AB13" s="163"/>
      <c r="AC13" s="146"/>
      <c r="AD13" s="149"/>
    </row>
    <row r="14" spans="1:31" s="1" customFormat="1" ht="12" thickBot="1" x14ac:dyDescent="0.25">
      <c r="A14" s="226">
        <v>46482</v>
      </c>
      <c r="B14" s="266">
        <v>0.30972222222222223</v>
      </c>
      <c r="C14" s="266">
        <v>0.48402777777777778</v>
      </c>
      <c r="D14" s="266">
        <v>0.49722222222222223</v>
      </c>
      <c r="E14" s="266"/>
      <c r="F14" s="266"/>
      <c r="G14" s="266"/>
      <c r="H14" s="266"/>
      <c r="I14" s="266">
        <v>0.62361111111111112</v>
      </c>
      <c r="J14" s="265">
        <f>F14-E14</f>
        <v>0</v>
      </c>
      <c r="K14" s="265">
        <f>IF((D14-C14)&lt;=$F$2,0,(D14-C14)-$F$2)</f>
        <v>0</v>
      </c>
      <c r="L14" s="319">
        <f>(I14-B14)-K14-(H14-G14)-J14</f>
        <v>0.31388888888888888</v>
      </c>
      <c r="M14" s="412" t="s">
        <v>45</v>
      </c>
      <c r="N14" s="211"/>
      <c r="O14" s="212"/>
      <c r="P14" s="428">
        <f>MROUND(L14,"0:15")</f>
        <v>0.3125</v>
      </c>
      <c r="Q14" s="201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3</v>
      </c>
      <c r="R14" s="201"/>
      <c r="S14" s="202"/>
      <c r="T14" s="429">
        <f>T11-L14</f>
        <v>6.352777777777777</v>
      </c>
      <c r="U14" s="370"/>
      <c r="V14" s="205">
        <v>0.30208333333333331</v>
      </c>
      <c r="W14" s="204">
        <v>45264</v>
      </c>
      <c r="X14" s="682"/>
      <c r="Y14" s="345">
        <f>IF(M14="O",P14 - AA14,"0:00:00")</f>
        <v>0.3125</v>
      </c>
      <c r="Z14" s="349" t="str">
        <f>IF(M14="C",P14,"0:00:00")</f>
        <v>0:00:00</v>
      </c>
      <c r="AA14" s="138" t="str">
        <f>IF(P14="M",Q14-P14,"0:00:00")</f>
        <v>0:00:00</v>
      </c>
      <c r="AB14" s="157">
        <f>SUM(Y14:Z14)</f>
        <v>0.3125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226">
        <v>46483</v>
      </c>
      <c r="B15" s="266">
        <v>0.3125</v>
      </c>
      <c r="C15" s="266">
        <v>0.47916666666666669</v>
      </c>
      <c r="D15" s="266">
        <v>0.4916666666666667</v>
      </c>
      <c r="E15" s="266"/>
      <c r="F15" s="266"/>
      <c r="G15" s="266"/>
      <c r="H15" s="266"/>
      <c r="I15" s="266">
        <v>0.71875</v>
      </c>
      <c r="J15" s="265">
        <f>IF((F15-E15)&lt;$F$1,$F$1,F15-E15)</f>
        <v>2.0833333333333329E-2</v>
      </c>
      <c r="K15" s="265">
        <f>IF((D15-C15)&lt;=$F$2,0,(D15-C15)-$F$2)</f>
        <v>0</v>
      </c>
      <c r="L15" s="319">
        <f>(I15-B15)-K15-(H15-G15)-J15</f>
        <v>0.38541666666666669</v>
      </c>
      <c r="M15" s="412" t="s">
        <v>53</v>
      </c>
      <c r="N15" s="211"/>
      <c r="O15" s="212"/>
      <c r="P15" s="428">
        <f>MROUND(L15,"0:15")</f>
        <v>0.38541666666666663</v>
      </c>
      <c r="Q15" s="8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3</v>
      </c>
      <c r="R15" s="84"/>
      <c r="S15" s="85"/>
      <c r="T15" s="423">
        <f>T14-L15</f>
        <v>5.96736111111111</v>
      </c>
      <c r="U15" s="366"/>
      <c r="V15" s="206">
        <v>0.25</v>
      </c>
      <c r="W15" s="204">
        <v>45265</v>
      </c>
      <c r="X15" s="682"/>
      <c r="Y15" s="361" t="str">
        <f>IF(M15="O",P15 - AA15,"0:00:00")</f>
        <v>0:00:00</v>
      </c>
      <c r="Z15" s="152">
        <f>IF(M15="C",P15,"0:00:00")</f>
        <v>0.38541666666666663</v>
      </c>
      <c r="AA15" s="152" t="str">
        <f>IF(P15="M",Q15-P15,"0:00:00")</f>
        <v>0:00:00</v>
      </c>
      <c r="AB15" s="164">
        <f>SUM(Y15:Z15)</f>
        <v>0.38541666666666663</v>
      </c>
      <c r="AC15" s="107">
        <v>0.25</v>
      </c>
      <c r="AD15" s="189" t="b">
        <f>V15=AC15</f>
        <v>1</v>
      </c>
    </row>
    <row r="16" spans="1:31" s="1" customFormat="1" ht="12.75" customHeight="1" thickBot="1" x14ac:dyDescent="0.25">
      <c r="A16" s="226">
        <v>46484</v>
      </c>
      <c r="B16" s="266">
        <v>0.30972222222222223</v>
      </c>
      <c r="C16" s="266">
        <v>0.47500000000000003</v>
      </c>
      <c r="D16" s="266">
        <v>0.48749999999999999</v>
      </c>
      <c r="E16" s="266"/>
      <c r="F16" s="266"/>
      <c r="G16" s="266"/>
      <c r="H16" s="266"/>
      <c r="I16" s="266">
        <v>0.62152777777777779</v>
      </c>
      <c r="J16" s="265">
        <f t="shared" ref="J16:J17" si="1">F16-E16</f>
        <v>0</v>
      </c>
      <c r="K16" s="265">
        <f>IF((D16-C16)&lt;=$F$2,0,(D16-C16)-$F$2)</f>
        <v>0</v>
      </c>
      <c r="L16" s="319">
        <f>(I16-B16)-K16-(H16-G16)-J16</f>
        <v>0.31180555555555556</v>
      </c>
      <c r="M16" s="412" t="s">
        <v>45</v>
      </c>
      <c r="N16" s="211"/>
      <c r="O16" s="212"/>
      <c r="P16" s="430">
        <f>MROUND(L16,"0:15")</f>
        <v>0.3125</v>
      </c>
      <c r="Q16" s="95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2</v>
      </c>
      <c r="R16" s="95"/>
      <c r="S16" s="96"/>
      <c r="T16" s="431">
        <f>T15-P16</f>
        <v>5.65486111111111</v>
      </c>
      <c r="U16" s="97"/>
      <c r="V16" s="206">
        <v>0.23958333333333334</v>
      </c>
      <c r="W16" s="204">
        <v>45266</v>
      </c>
      <c r="X16" s="682"/>
      <c r="Y16" s="361">
        <f>IF(M16="O",P16 - AA16,"0:00:00")</f>
        <v>0.3125</v>
      </c>
      <c r="Z16" s="152" t="str">
        <f>IF(M16="C",P16,"0:00:00")</f>
        <v>0:00:00</v>
      </c>
      <c r="AA16" s="152" t="str">
        <f>IF(P16="M",Q16-P16,"0:00:00")</f>
        <v>0:00:00</v>
      </c>
      <c r="AB16" s="152">
        <f>SUM(Y16:Z16)</f>
        <v>0.3125</v>
      </c>
      <c r="AC16" s="107">
        <v>0.23958333333333334</v>
      </c>
      <c r="AD16" s="189" t="b">
        <f>V16=AC16</f>
        <v>1</v>
      </c>
    </row>
    <row r="17" spans="1:30" ht="12.75" customHeight="1" thickBot="1" x14ac:dyDescent="0.25">
      <c r="A17" s="226">
        <v>46485</v>
      </c>
      <c r="B17" s="266">
        <v>0.30972222222222223</v>
      </c>
      <c r="C17" s="266">
        <v>0.47083333333333338</v>
      </c>
      <c r="D17" s="266">
        <v>0.48402777777777778</v>
      </c>
      <c r="E17" s="266"/>
      <c r="F17" s="266"/>
      <c r="G17" s="266"/>
      <c r="H17" s="266"/>
      <c r="I17" s="266">
        <v>0.62152777777777779</v>
      </c>
      <c r="J17" s="265">
        <f t="shared" si="1"/>
        <v>0</v>
      </c>
      <c r="K17" s="265">
        <f>IF((D17-C17)&lt;=$F$2,0,(D17-C17)-$F$2)</f>
        <v>0</v>
      </c>
      <c r="L17" s="319">
        <f>(I17-B17)-K17-(H17-G17)-J17</f>
        <v>0.31180555555555556</v>
      </c>
      <c r="M17" s="413" t="s">
        <v>45</v>
      </c>
      <c r="N17" s="213"/>
      <c r="O17" s="214"/>
      <c r="P17" s="428">
        <f>MROUND(L17,"0:15")</f>
        <v>0.3125</v>
      </c>
      <c r="Q17" s="8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1</v>
      </c>
      <c r="R17" s="84"/>
      <c r="S17" s="85"/>
      <c r="T17" s="432">
        <f>T16-P17</f>
        <v>5.34236111111111</v>
      </c>
      <c r="U17" s="366"/>
      <c r="V17" s="206">
        <v>0</v>
      </c>
      <c r="W17" s="204">
        <v>45267</v>
      </c>
      <c r="X17" s="682"/>
      <c r="Y17" s="361">
        <f>IF(M17="O",P17 - AA17,"0:00:00")</f>
        <v>0.3125</v>
      </c>
      <c r="Z17" s="152" t="str">
        <f>IF(M17="C",P17,"0:00:00")</f>
        <v>0:00:00</v>
      </c>
      <c r="AA17" s="140" t="str">
        <f>IF(P17="M",Q17-P17,"0:00:00")</f>
        <v>0:00:00</v>
      </c>
      <c r="AB17" s="140">
        <f>SUM(Y17:Z17)</f>
        <v>0.3125</v>
      </c>
      <c r="AC17" s="195">
        <v>0</v>
      </c>
      <c r="AD17" s="196" t="b">
        <f>V17=AC17</f>
        <v>1</v>
      </c>
    </row>
    <row r="18" spans="1:30" ht="13.5" thickBot="1" x14ac:dyDescent="0.25">
      <c r="A18" s="226">
        <v>46486</v>
      </c>
      <c r="B18" s="266">
        <v>0.3125</v>
      </c>
      <c r="C18" s="266">
        <v>0.46388888888888885</v>
      </c>
      <c r="D18" s="266">
        <v>0.4777777777777778</v>
      </c>
      <c r="E18" s="266"/>
      <c r="F18" s="266"/>
      <c r="G18" s="266"/>
      <c r="H18" s="266"/>
      <c r="I18" s="266">
        <v>0.65625</v>
      </c>
      <c r="J18" s="259">
        <v>0</v>
      </c>
      <c r="K18" s="259">
        <f>IF((D18-C18)&lt;=$F$2,0,(D18-C18)-$F$2)</f>
        <v>6.2450045135165055E-17</v>
      </c>
      <c r="L18" s="408">
        <f>(I18-B18)-K18-(H18-G18)-J18</f>
        <v>0.34374999999999994</v>
      </c>
      <c r="M18" s="412" t="s">
        <v>53</v>
      </c>
      <c r="N18" s="211"/>
      <c r="O18" s="212"/>
      <c r="P18" s="428">
        <f>MROUND(L18,"0:15")</f>
        <v>0.34375</v>
      </c>
      <c r="Q18" s="199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1</v>
      </c>
      <c r="R18" s="199"/>
      <c r="S18" s="200"/>
      <c r="T18" s="433">
        <f>T17-L18</f>
        <v>4.99861111111111</v>
      </c>
      <c r="U18" s="358"/>
      <c r="V18" s="207">
        <v>0</v>
      </c>
      <c r="W18" s="204">
        <v>45268</v>
      </c>
      <c r="X18" s="682"/>
      <c r="Y18" s="361" t="str">
        <f>IF(M18="O",P18 - AA18,"0:00:00")</f>
        <v>0:00:00</v>
      </c>
      <c r="Z18" s="152">
        <f>IF(M18="C",P18,"0:00:00")</f>
        <v>0.34375</v>
      </c>
      <c r="AA18" s="143" t="str">
        <f>IF(P18="M",Q18-P18,"0:00:00")</f>
        <v>0:00:00</v>
      </c>
      <c r="AB18" s="159">
        <f>SUM(Y18:Z18)</f>
        <v>0.34375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1.6666666666666665</v>
      </c>
      <c r="M19" s="396"/>
      <c r="N19" s="122"/>
      <c r="O19" s="123"/>
      <c r="P19" s="706">
        <f>SUM(P14:P18)</f>
        <v>1.6666666666666665</v>
      </c>
      <c r="Q19" s="707"/>
      <c r="R19" s="707"/>
      <c r="S19" s="707"/>
      <c r="T19" s="708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398"/>
      <c r="N20" s="130"/>
      <c r="O20" s="131"/>
      <c r="P20" s="434"/>
      <c r="Q20" s="341">
        <f>Q18</f>
        <v>1</v>
      </c>
      <c r="R20" s="341"/>
      <c r="S20" s="342"/>
      <c r="T20" s="435"/>
      <c r="U20" s="385"/>
      <c r="V20" s="35"/>
      <c r="W20" s="79"/>
      <c r="X20" s="148"/>
      <c r="Y20" s="160"/>
      <c r="Z20" s="161"/>
      <c r="AA20" s="162"/>
      <c r="AB20" s="163"/>
      <c r="AC20" s="146"/>
      <c r="AD20" s="149"/>
    </row>
    <row r="21" spans="1:30" ht="12.75" customHeight="1" thickBot="1" x14ac:dyDescent="0.25">
      <c r="A21" s="226">
        <v>46489</v>
      </c>
      <c r="B21" s="266">
        <v>0.3</v>
      </c>
      <c r="C21" s="266">
        <v>0.47430555555555554</v>
      </c>
      <c r="D21" s="266">
        <v>0.48194444444444445</v>
      </c>
      <c r="E21" s="266"/>
      <c r="F21" s="266"/>
      <c r="G21" s="266"/>
      <c r="H21" s="266"/>
      <c r="I21" s="266">
        <v>0.62222222222222223</v>
      </c>
      <c r="J21" s="265">
        <f>F21-E21</f>
        <v>0</v>
      </c>
      <c r="K21" s="260">
        <f>IF((D21-C21)&lt;=$F$2,0,(D21-C21)-$F$2)</f>
        <v>0</v>
      </c>
      <c r="L21" s="409">
        <f>(I21-B21)-K21-(H21-G21)-J21</f>
        <v>0.32222222222222224</v>
      </c>
      <c r="M21" s="413" t="s">
        <v>45</v>
      </c>
      <c r="N21" s="211"/>
      <c r="O21" s="212"/>
      <c r="P21" s="428">
        <f>MROUND(L21,"0:15")</f>
        <v>0.32291666666666663</v>
      </c>
      <c r="Q21" s="98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0</v>
      </c>
      <c r="R21" s="98"/>
      <c r="S21" s="99"/>
      <c r="T21" s="436">
        <f>T18-L21</f>
        <v>4.676388888888888</v>
      </c>
      <c r="U21" s="100"/>
      <c r="V21" s="205">
        <v>0.36458333333333331</v>
      </c>
      <c r="W21" s="192">
        <v>45271</v>
      </c>
      <c r="X21" s="682"/>
      <c r="Y21" s="150">
        <f>IF(M21="O",P21 - AA21,"0:00:00")</f>
        <v>0.32291666666666663</v>
      </c>
      <c r="Z21" s="138" t="str">
        <f>IF(M21="C",P21,"0:00:00")</f>
        <v>0:00:00</v>
      </c>
      <c r="AA21" s="138" t="str">
        <f>IF(P21="M",Q21-P21,"0:00:00")</f>
        <v>0:00:00</v>
      </c>
      <c r="AB21" s="157">
        <f>SUM(Y21:Z21)</f>
        <v>0.32291666666666663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26">
        <v>46490</v>
      </c>
      <c r="B22" s="608">
        <v>0.33124999999999999</v>
      </c>
      <c r="C22" s="608">
        <v>0.51527777777777783</v>
      </c>
      <c r="D22" s="608">
        <v>0.52916666666666667</v>
      </c>
      <c r="E22" s="608">
        <v>0.63541666666666663</v>
      </c>
      <c r="F22" s="608">
        <v>0.65625</v>
      </c>
      <c r="G22" s="608"/>
      <c r="H22" s="608"/>
      <c r="I22" s="608">
        <v>0.7270833333333333</v>
      </c>
      <c r="J22" s="609">
        <f>IF((F22-E22)&lt;$F$1,$F$1,F22-E22)</f>
        <v>2.083333333333337E-2</v>
      </c>
      <c r="K22" s="624">
        <f>IF((D22-C22)&lt;=$F$2,0,(D22-C22)-$F$2)</f>
        <v>0</v>
      </c>
      <c r="L22" s="625">
        <f>(I22-B22)-K22-(H22-G22)-J22</f>
        <v>0.37499999999999994</v>
      </c>
      <c r="M22" s="412" t="s">
        <v>53</v>
      </c>
      <c r="N22" s="211"/>
      <c r="O22" s="212"/>
      <c r="P22" s="428">
        <f>MROUND(L22,"0:15")</f>
        <v>0.375</v>
      </c>
      <c r="Q22" s="95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0</v>
      </c>
      <c r="R22" s="95"/>
      <c r="S22" s="96"/>
      <c r="T22" s="422">
        <f>T21-L22</f>
        <v>4.301388888888888</v>
      </c>
      <c r="U22" s="97"/>
      <c r="V22" s="206">
        <v>0.36458333333333331</v>
      </c>
      <c r="W22" s="192">
        <v>45272</v>
      </c>
      <c r="X22" s="682"/>
      <c r="Y22" s="343" t="str">
        <f>IF(M22="O",P22 - AA22,"0:00:00")</f>
        <v>0:00:00</v>
      </c>
      <c r="Z22" s="344">
        <f>IF(M22="C",P22,"0:00:00")</f>
        <v>0.375</v>
      </c>
      <c r="AA22" s="140" t="str">
        <f>IF(P22="M",Q22-P22,"0:00:00")</f>
        <v>0:00:00</v>
      </c>
      <c r="AB22" s="158">
        <f>SUM(Y22:Z22)</f>
        <v>0.375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26">
        <v>46491</v>
      </c>
      <c r="B23" s="266">
        <v>0.30416666666666664</v>
      </c>
      <c r="C23" s="266">
        <v>0.51527777777777783</v>
      </c>
      <c r="D23" s="266">
        <v>0.52916666666666667</v>
      </c>
      <c r="E23" s="266"/>
      <c r="F23" s="266"/>
      <c r="G23" s="266"/>
      <c r="H23" s="266"/>
      <c r="I23" s="266">
        <v>0.6381944444444444</v>
      </c>
      <c r="J23" s="265">
        <f t="shared" ref="J23:J24" si="2">F23-E23</f>
        <v>0</v>
      </c>
      <c r="K23" s="260">
        <f>IF((D23-C23)&lt;=$F$2,0,(D23-C23)-$F$2)</f>
        <v>0</v>
      </c>
      <c r="L23" s="409">
        <f>(I23-B23)-K23-(H23-G23)-J23</f>
        <v>0.33402777777777776</v>
      </c>
      <c r="M23" s="413" t="s">
        <v>45</v>
      </c>
      <c r="N23" s="211"/>
      <c r="O23" s="212"/>
      <c r="P23" s="428">
        <f>MROUND(L23,"0:15")</f>
        <v>0.33333333333333331</v>
      </c>
      <c r="Q23" s="95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1</v>
      </c>
      <c r="R23" s="95"/>
      <c r="S23" s="96"/>
      <c r="T23" s="422">
        <f>T22-L23</f>
        <v>3.9673611111111104</v>
      </c>
      <c r="U23" s="97"/>
      <c r="V23" s="206">
        <v>0.45833333333333331</v>
      </c>
      <c r="W23" s="192">
        <v>45273</v>
      </c>
      <c r="X23" s="682"/>
      <c r="Y23" s="343">
        <f>IF(M23="O",P23 - AA23,"0:00:00")</f>
        <v>0.33333333333333331</v>
      </c>
      <c r="Z23" s="344" t="str">
        <f>IF(M23="C",P23,"0:00:00")</f>
        <v>0:00:00</v>
      </c>
      <c r="AA23" s="140" t="str">
        <f>IF(P23="M",Q23-P23,"0:00:00")</f>
        <v>0:00:00</v>
      </c>
      <c r="AB23" s="158">
        <f>SUM(Y23:Z23)</f>
        <v>0.33333333333333331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26">
        <v>46492</v>
      </c>
      <c r="B24" s="266">
        <v>0.3</v>
      </c>
      <c r="C24" s="266">
        <v>0.54097222222222219</v>
      </c>
      <c r="D24" s="266">
        <v>0.55486111111111114</v>
      </c>
      <c r="E24" s="266"/>
      <c r="F24" s="266"/>
      <c r="G24" s="266"/>
      <c r="H24" s="266"/>
      <c r="I24" s="266">
        <v>0.61249999999999993</v>
      </c>
      <c r="J24" s="609">
        <f t="shared" si="2"/>
        <v>0</v>
      </c>
      <c r="K24" s="624">
        <f>IF((D24-C24)&lt;=$F$2,0,(D24-C24)-$F$2)</f>
        <v>6.2450045135165055E-17</v>
      </c>
      <c r="L24" s="625">
        <f>(I24-B24)-K24-(H24-G24)-J24</f>
        <v>0.31249999999999989</v>
      </c>
      <c r="M24" s="414" t="s">
        <v>53</v>
      </c>
      <c r="N24" s="213"/>
      <c r="O24" s="214"/>
      <c r="P24" s="428">
        <f>MROUND(L24,"0:15")</f>
        <v>0.3125</v>
      </c>
      <c r="Q24" s="249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1</v>
      </c>
      <c r="R24" s="249"/>
      <c r="S24" s="250"/>
      <c r="T24" s="437">
        <f>T23-L24</f>
        <v>3.6548611111111104</v>
      </c>
      <c r="U24" s="372"/>
      <c r="V24" s="182">
        <v>0.32291666666666669</v>
      </c>
      <c r="W24" s="192">
        <v>45274</v>
      </c>
      <c r="X24" s="682"/>
      <c r="Y24" s="343" t="str">
        <f>IF(M24="O",P24 - AA24,"0:00:00")</f>
        <v>0:00:00</v>
      </c>
      <c r="Z24" s="344">
        <f>IF(M24="C",P24,"0:00:00")</f>
        <v>0.3125</v>
      </c>
      <c r="AA24" s="140" t="str">
        <f>IF(P24="M",Q24-P24,"0:00:00")</f>
        <v>0:00:00</v>
      </c>
      <c r="AB24" s="158">
        <f>SUM(Y24:Z24)</f>
        <v>0.3125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226">
        <v>46493</v>
      </c>
      <c r="B25" s="266">
        <v>0.31041666666666667</v>
      </c>
      <c r="C25" s="266"/>
      <c r="D25" s="266"/>
      <c r="E25" s="266"/>
      <c r="F25" s="266"/>
      <c r="G25" s="266"/>
      <c r="H25" s="266"/>
      <c r="I25" s="266">
        <v>0.6333333333333333</v>
      </c>
      <c r="J25" s="259">
        <v>0</v>
      </c>
      <c r="K25" s="260">
        <f>IF((D25-C25)&lt;=$F$2,0,(D25-C25)-$F$2)</f>
        <v>0</v>
      </c>
      <c r="L25" s="409">
        <f>(I25-B25)-K25-(H25-G25)-J25</f>
        <v>0.32291666666666663</v>
      </c>
      <c r="M25" s="416" t="s">
        <v>53</v>
      </c>
      <c r="N25" s="211"/>
      <c r="O25" s="212"/>
      <c r="P25" s="428">
        <f>MROUND(L25,"0:15")</f>
        <v>0.32291666666666663</v>
      </c>
      <c r="Q25" s="251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1</v>
      </c>
      <c r="R25" s="251"/>
      <c r="S25" s="252"/>
      <c r="T25" s="438">
        <f>T24-L25</f>
        <v>3.3319444444444439</v>
      </c>
      <c r="U25" s="373"/>
      <c r="V25" s="182">
        <v>0.36458333333333331</v>
      </c>
      <c r="W25" s="192">
        <v>45275</v>
      </c>
      <c r="X25" s="682"/>
      <c r="Y25" s="364" t="str">
        <f>IF(M25="O",P25 - AA25,"0:00:00")</f>
        <v>0:00:00</v>
      </c>
      <c r="Z25" s="365">
        <f>IF(M25="C",P25,"0:00:00")</f>
        <v>0.32291666666666663</v>
      </c>
      <c r="AA25" s="143" t="str">
        <f>IF(P25="M",Q25-P25,"0:00:00")</f>
        <v>0:00:00</v>
      </c>
      <c r="AB25" s="159">
        <f>SUM(Y25:Z25)</f>
        <v>0.32291666666666663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1.6666666666666665</v>
      </c>
      <c r="M26" s="396"/>
      <c r="N26" s="128"/>
      <c r="O26" s="129"/>
      <c r="P26" s="706">
        <f>SUM(P21:P25)</f>
        <v>1.6666666666666665</v>
      </c>
      <c r="Q26" s="707"/>
      <c r="R26" s="707"/>
      <c r="S26" s="707"/>
      <c r="T26" s="708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417"/>
      <c r="N27" s="130"/>
      <c r="O27" s="131"/>
      <c r="P27" s="426"/>
      <c r="Q27" s="338">
        <f>Q25</f>
        <v>1</v>
      </c>
      <c r="R27" s="338"/>
      <c r="S27" s="339"/>
      <c r="T27" s="427"/>
      <c r="U27" s="374"/>
      <c r="V27" s="35"/>
      <c r="W27" s="81"/>
      <c r="X27" s="148"/>
      <c r="Y27" s="160"/>
      <c r="Z27" s="161"/>
      <c r="AA27" s="162"/>
      <c r="AB27" s="163"/>
      <c r="AC27" s="146"/>
      <c r="AD27" s="149"/>
    </row>
    <row r="28" spans="1:30" ht="15.75" customHeight="1" thickBot="1" x14ac:dyDescent="0.25">
      <c r="A28" s="605">
        <v>46496</v>
      </c>
      <c r="B28" s="266">
        <v>0.30972222222222223</v>
      </c>
      <c r="C28" s="266">
        <v>0.48402777777777778</v>
      </c>
      <c r="D28" s="266">
        <v>0.49722222222222223</v>
      </c>
      <c r="E28" s="266"/>
      <c r="F28" s="266"/>
      <c r="G28" s="266"/>
      <c r="H28" s="266"/>
      <c r="I28" s="266">
        <v>0.62361111111111112</v>
      </c>
      <c r="J28" s="606">
        <f>F28-E28</f>
        <v>0</v>
      </c>
      <c r="K28" s="606">
        <f>IF((D28-C28)&lt;=$F$2,0,(D28-C28)-$F$2)</f>
        <v>0</v>
      </c>
      <c r="L28" s="607">
        <f>(I28-B28)-K28-(H28-G28)-J28</f>
        <v>0.31388888888888888</v>
      </c>
      <c r="M28" s="413" t="s">
        <v>45</v>
      </c>
      <c r="N28" s="211"/>
      <c r="O28" s="212"/>
      <c r="P28" s="428">
        <f>MROUND(L28,"0:15")</f>
        <v>0.3125</v>
      </c>
      <c r="Q28" s="98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3</v>
      </c>
      <c r="R28" s="98"/>
      <c r="S28" s="99"/>
      <c r="T28" s="436">
        <f>T25-L28</f>
        <v>3.0180555555555548</v>
      </c>
      <c r="U28" s="100"/>
      <c r="V28" s="205">
        <v>0.30208333333333331</v>
      </c>
      <c r="W28" s="192">
        <v>45278</v>
      </c>
      <c r="X28" s="682"/>
      <c r="Y28" s="345">
        <f>IF(M28="O",P28 - AA28,"0:00:00")</f>
        <v>0.3125</v>
      </c>
      <c r="Z28" s="349" t="str">
        <f>IF(M28="C",P28,"0:00:00")</f>
        <v>0:00:00</v>
      </c>
      <c r="AA28" s="138" t="str">
        <f>IF(P28="M",Q28-P28,"0:00:00")</f>
        <v>0:00:00</v>
      </c>
      <c r="AB28" s="157">
        <f>SUM(Y28:Z28)</f>
        <v>0.3125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605">
        <v>46497</v>
      </c>
      <c r="B29" s="266">
        <v>0.3125</v>
      </c>
      <c r="C29" s="266">
        <v>0.47916666666666669</v>
      </c>
      <c r="D29" s="266">
        <v>0.4916666666666667</v>
      </c>
      <c r="E29" s="266"/>
      <c r="F29" s="266"/>
      <c r="G29" s="266"/>
      <c r="H29" s="266"/>
      <c r="I29" s="266">
        <v>0.72916666666666663</v>
      </c>
      <c r="J29" s="606">
        <f>IF((F29-E29)&lt;$F$1,$F$1,F29-E29)</f>
        <v>2.0833333333333329E-2</v>
      </c>
      <c r="K29" s="606">
        <f>IF((D29-C29)&lt;=$F$2,0,(D29-C29)-$F$2)</f>
        <v>0</v>
      </c>
      <c r="L29" s="607">
        <f>(I29-B29)-K29-(H29-G29)-J29</f>
        <v>0.39583333333333331</v>
      </c>
      <c r="M29" s="412" t="s">
        <v>53</v>
      </c>
      <c r="N29" s="211"/>
      <c r="O29" s="212"/>
      <c r="P29" s="428">
        <f>MROUND(L29,"0:15")</f>
        <v>0.39583333333333331</v>
      </c>
      <c r="Q29" s="95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3</v>
      </c>
      <c r="R29" s="95"/>
      <c r="S29" s="96"/>
      <c r="T29" s="422">
        <f>T28-L29</f>
        <v>2.6222222222222213</v>
      </c>
      <c r="U29" s="97"/>
      <c r="V29" s="206">
        <v>0</v>
      </c>
      <c r="W29" s="192">
        <v>45279</v>
      </c>
      <c r="X29" s="682"/>
      <c r="Y29" s="361" t="str">
        <f>IF(M29="O",P29 - AA29,"0:00:00")</f>
        <v>0:00:00</v>
      </c>
      <c r="Z29" s="152">
        <f>IF(M29="C",P29,"0:00:00")</f>
        <v>0.39583333333333331</v>
      </c>
      <c r="AA29" s="140" t="str">
        <f>IF(P29="M",Q29-P29,"0:00:00")</f>
        <v>0:00:00</v>
      </c>
      <c r="AB29" s="158">
        <f>SUM(Y29:Z29)</f>
        <v>0.39583333333333331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605">
        <v>46498</v>
      </c>
      <c r="B30" s="266">
        <v>0.30972222222222223</v>
      </c>
      <c r="C30" s="266">
        <v>0.47500000000000003</v>
      </c>
      <c r="D30" s="266">
        <v>0.48749999999999999</v>
      </c>
      <c r="E30" s="266"/>
      <c r="F30" s="266"/>
      <c r="G30" s="266"/>
      <c r="H30" s="266"/>
      <c r="I30" s="266">
        <v>0.62152777777777779</v>
      </c>
      <c r="J30" s="606">
        <f t="shared" ref="J30:J31" si="3">F30-E30</f>
        <v>0</v>
      </c>
      <c r="K30" s="606">
        <f>IF((D30-C30)&lt;=$F$2,0,(D30-C30)-$F$2)</f>
        <v>0</v>
      </c>
      <c r="L30" s="607">
        <f>(I30-B30)-K30-(H30-G30)-J30</f>
        <v>0.31180555555555556</v>
      </c>
      <c r="M30" s="412" t="s">
        <v>45</v>
      </c>
      <c r="N30" s="211"/>
      <c r="O30" s="212"/>
      <c r="P30" s="428">
        <f>MROUND(L30,"0:15")</f>
        <v>0.3125</v>
      </c>
      <c r="Q30" s="95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2</v>
      </c>
      <c r="R30" s="95"/>
      <c r="S30" s="96"/>
      <c r="T30" s="422">
        <f>T29-L30</f>
        <v>2.3104166666666659</v>
      </c>
      <c r="U30" s="97"/>
      <c r="V30" s="206">
        <v>0.35416666666666669</v>
      </c>
      <c r="W30" s="192">
        <v>45280</v>
      </c>
      <c r="X30" s="682"/>
      <c r="Y30" s="361">
        <f>IF(M30="O",P30 - AA30,"0:00:00")</f>
        <v>0.3125</v>
      </c>
      <c r="Z30" s="152" t="str">
        <f>IF(M30="C",P30,"0:00:00")</f>
        <v>0:00:00</v>
      </c>
      <c r="AA30" s="140" t="str">
        <f>IF(P30="M",Q30-P30,"0:00:00")</f>
        <v>0:00:00</v>
      </c>
      <c r="AB30" s="158">
        <f>SUM(Y30:Z30)</f>
        <v>0.3125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605">
        <v>46499</v>
      </c>
      <c r="B31" s="266">
        <v>0.30972222222222223</v>
      </c>
      <c r="C31" s="266">
        <v>0.47083333333333338</v>
      </c>
      <c r="D31" s="266">
        <v>0.48402777777777778</v>
      </c>
      <c r="E31" s="266"/>
      <c r="F31" s="266"/>
      <c r="G31" s="266"/>
      <c r="H31" s="266"/>
      <c r="I31" s="266">
        <v>0.62152777777777779</v>
      </c>
      <c r="J31" s="606">
        <f t="shared" si="3"/>
        <v>0</v>
      </c>
      <c r="K31" s="606">
        <f>IF((D31-C31)&lt;=$F$2,0,(D31-C31)-$F$2)</f>
        <v>0</v>
      </c>
      <c r="L31" s="607">
        <f>(I31-B31)-K31-(H31-G31)-J31</f>
        <v>0.31180555555555556</v>
      </c>
      <c r="M31" s="413" t="s">
        <v>45</v>
      </c>
      <c r="N31" s="213"/>
      <c r="O31" s="214"/>
      <c r="P31" s="428">
        <f>MROUND(L31,"0:15")</f>
        <v>0.3125</v>
      </c>
      <c r="Q31" s="95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1</v>
      </c>
      <c r="R31" s="95"/>
      <c r="S31" s="96"/>
      <c r="T31" s="422">
        <f>T30-L31</f>
        <v>1.9986111111111104</v>
      </c>
      <c r="U31" s="97"/>
      <c r="V31" s="206">
        <v>0.41666666666666669</v>
      </c>
      <c r="W31" s="192">
        <v>45281</v>
      </c>
      <c r="X31" s="682"/>
      <c r="Y31" s="361">
        <f>IF(M31="O",P31 - AA31,"0:00:00")</f>
        <v>0.3125</v>
      </c>
      <c r="Z31" s="152" t="str">
        <f>IF(M31="C",P31,"0:00:00")</f>
        <v>0:00:00</v>
      </c>
      <c r="AA31" s="140" t="str">
        <f>IF(P31="M",Q31-P31,"0:00:00")</f>
        <v>0:00:00</v>
      </c>
      <c r="AB31" s="158">
        <f>SUM(Y31:Z31)</f>
        <v>0.3125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605">
        <v>46500</v>
      </c>
      <c r="B32" s="266">
        <v>0.3125</v>
      </c>
      <c r="C32" s="266">
        <v>0.46388888888888885</v>
      </c>
      <c r="D32" s="266">
        <v>0.4777777777777778</v>
      </c>
      <c r="E32" s="266"/>
      <c r="F32" s="266"/>
      <c r="G32" s="266"/>
      <c r="H32" s="266"/>
      <c r="I32" s="266">
        <v>0.65625</v>
      </c>
      <c r="J32" s="606">
        <v>0</v>
      </c>
      <c r="K32" s="606">
        <f>IF((D32-C32)&lt;=$F$2,0,(D32-C32)-$F$2)</f>
        <v>6.2450045135165055E-17</v>
      </c>
      <c r="L32" s="607">
        <f>(I32-B32)-K32-(H32-G32)-J32</f>
        <v>0.34374999999999994</v>
      </c>
      <c r="M32" s="414" t="s">
        <v>53</v>
      </c>
      <c r="N32" s="211"/>
      <c r="O32" s="212"/>
      <c r="P32" s="428">
        <f>MROUND(L32,"0:15")</f>
        <v>0.34375</v>
      </c>
      <c r="Q32" s="95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1</v>
      </c>
      <c r="R32" s="95"/>
      <c r="S32" s="96"/>
      <c r="T32" s="422">
        <f>T31-L32</f>
        <v>1.6548611111111104</v>
      </c>
      <c r="U32" s="111"/>
      <c r="V32" s="78">
        <v>0.35416666666666669</v>
      </c>
      <c r="W32" s="192">
        <v>45282</v>
      </c>
      <c r="X32" s="682"/>
      <c r="Y32" s="361" t="str">
        <f>IF(M32="O",P32 - AA32,"0:00:00")</f>
        <v>0:00:00</v>
      </c>
      <c r="Z32" s="152">
        <f>IF(M32="C",P32,"0:00:00")</f>
        <v>0.34375</v>
      </c>
      <c r="AA32" s="143" t="str">
        <f>IF(P32="M",Q32-P32,"0:00:00")</f>
        <v>0:00:00</v>
      </c>
      <c r="AB32" s="159">
        <f>SUM(Y32:Z32)</f>
        <v>0.34375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1.677083333333333</v>
      </c>
      <c r="M33" s="396"/>
      <c r="N33" s="128"/>
      <c r="O33" s="129"/>
      <c r="P33" s="706">
        <f>SUM(P28:P32)</f>
        <v>1.6770833333333333</v>
      </c>
      <c r="Q33" s="707"/>
      <c r="R33" s="707"/>
      <c r="S33" s="707"/>
      <c r="T33" s="708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418"/>
      <c r="N34" s="130"/>
      <c r="O34" s="131"/>
      <c r="P34" s="426"/>
      <c r="Q34" s="377">
        <f>Q32</f>
        <v>1</v>
      </c>
      <c r="R34" s="377"/>
      <c r="S34" s="378"/>
      <c r="T34" s="439"/>
      <c r="U34" s="374"/>
      <c r="V34" s="35"/>
      <c r="W34" s="82"/>
      <c r="X34" s="148"/>
      <c r="Y34" s="160"/>
      <c r="Z34" s="161"/>
      <c r="AA34" s="162"/>
      <c r="AB34" s="163"/>
      <c r="AC34" s="146"/>
      <c r="AD34" s="149"/>
    </row>
    <row r="35" spans="1:30" ht="12.75" customHeight="1" thickBot="1" x14ac:dyDescent="0.25">
      <c r="A35" s="605">
        <v>46503</v>
      </c>
      <c r="B35" s="266">
        <v>0.30972222222222223</v>
      </c>
      <c r="C35" s="266">
        <v>0.48402777777777778</v>
      </c>
      <c r="D35" s="266">
        <v>0.49722222222222223</v>
      </c>
      <c r="E35" s="266"/>
      <c r="F35" s="266"/>
      <c r="G35" s="266"/>
      <c r="H35" s="266"/>
      <c r="I35" s="266">
        <v>0.62361111111111112</v>
      </c>
      <c r="J35" s="606">
        <v>0</v>
      </c>
      <c r="K35" s="606">
        <f>IF((D35-C35)&lt;=$F$2,0,(D35-C35)-$F$2)</f>
        <v>0</v>
      </c>
      <c r="L35" s="607">
        <f>(I35-B35)-K35-(H35-G35)-J35</f>
        <v>0.31388888888888888</v>
      </c>
      <c r="M35" s="412" t="s">
        <v>45</v>
      </c>
      <c r="N35" s="315"/>
      <c r="O35" s="212"/>
      <c r="P35" s="440">
        <f>MROUND(L35,"0:15")</f>
        <v>0.3125</v>
      </c>
      <c r="Q35" s="98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3</v>
      </c>
      <c r="R35" s="98"/>
      <c r="S35" s="99"/>
      <c r="T35" s="436">
        <f>T32-L35</f>
        <v>1.3409722222222216</v>
      </c>
      <c r="U35" s="100"/>
      <c r="V35" s="151">
        <v>0.33333333333333331</v>
      </c>
      <c r="W35" s="192">
        <v>45285</v>
      </c>
      <c r="X35" s="709"/>
      <c r="Y35" s="345">
        <f>IF(M35="O",P35 - AA35,"0:00:00")</f>
        <v>0.3125</v>
      </c>
      <c r="Z35" s="349" t="str">
        <f t="shared" ref="Z35:Z39" si="4">IF(M35="C",P35,"0:00:00")</f>
        <v>0:00:00</v>
      </c>
      <c r="AA35" s="138" t="str">
        <f>IF(P35="M",Q35-P35,"0:00:00")</f>
        <v>0:00:00</v>
      </c>
      <c r="AB35" s="157">
        <f>SUM(Y35:Z35)</f>
        <v>0.3125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605">
        <v>46504</v>
      </c>
      <c r="B36" s="266">
        <v>0.3125</v>
      </c>
      <c r="C36" s="266">
        <v>0.47916666666666669</v>
      </c>
      <c r="D36" s="266">
        <v>0.4916666666666667</v>
      </c>
      <c r="E36" s="266"/>
      <c r="F36" s="266"/>
      <c r="G36" s="266"/>
      <c r="H36" s="266"/>
      <c r="I36" s="266">
        <v>0.72916666666666663</v>
      </c>
      <c r="J36" s="606">
        <f>IF((F36-E36)&lt;$F$1,$F$1,F36-E36)</f>
        <v>2.0833333333333329E-2</v>
      </c>
      <c r="K36" s="606">
        <f>IF((D36-C36)&lt;=$F$2,0,(D36-C36)-$F$2)</f>
        <v>0</v>
      </c>
      <c r="L36" s="607">
        <f>(I36-B36)-K36-(H36-G36)-J36</f>
        <v>0.39583333333333331</v>
      </c>
      <c r="M36" s="585" t="s">
        <v>53</v>
      </c>
      <c r="N36" s="315"/>
      <c r="O36" s="212"/>
      <c r="P36" s="440">
        <f t="shared" ref="P36:P39" si="5">MROUND(L36,"0:15")</f>
        <v>0.39583333333333331</v>
      </c>
      <c r="Q36" s="95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3</v>
      </c>
      <c r="R36" s="95"/>
      <c r="S36" s="96"/>
      <c r="T36" s="422">
        <f>T35-L36</f>
        <v>0.94513888888888831</v>
      </c>
      <c r="U36" s="97"/>
      <c r="V36" s="77">
        <v>0.45833333333333331</v>
      </c>
      <c r="W36" s="192">
        <v>45286</v>
      </c>
      <c r="X36" s="709"/>
      <c r="Y36" s="361" t="str">
        <f>IF(M36="O",P36 - AA36,"0:00:00")</f>
        <v>0:00:00</v>
      </c>
      <c r="Z36" s="152">
        <f t="shared" si="4"/>
        <v>0.39583333333333331</v>
      </c>
      <c r="AA36" s="140" t="str">
        <f>IF(P36="M",Q36-P36,"0:00:00")</f>
        <v>0:00:00</v>
      </c>
      <c r="AB36" s="158">
        <f>SUM(Y36:Z36)</f>
        <v>0.39583333333333331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605">
        <v>46505</v>
      </c>
      <c r="B37" s="266">
        <v>0.30972222222222223</v>
      </c>
      <c r="C37" s="266">
        <v>0.47500000000000003</v>
      </c>
      <c r="D37" s="266">
        <v>0.48749999999999999</v>
      </c>
      <c r="E37" s="266"/>
      <c r="F37" s="266"/>
      <c r="G37" s="266"/>
      <c r="H37" s="266"/>
      <c r="I37" s="266">
        <v>0.62152777777777779</v>
      </c>
      <c r="J37" s="606">
        <v>0</v>
      </c>
      <c r="K37" s="606">
        <f>IF((D37-C37)&lt;=$F$2,0,(D37-C37)-$F$2)</f>
        <v>0</v>
      </c>
      <c r="L37" s="607">
        <f>(I37-B37)-K37-(H37-G37)-J37</f>
        <v>0.31180555555555556</v>
      </c>
      <c r="M37" s="585" t="s">
        <v>45</v>
      </c>
      <c r="N37" s="315"/>
      <c r="O37" s="212"/>
      <c r="P37" s="440">
        <f t="shared" si="5"/>
        <v>0.3125</v>
      </c>
      <c r="Q37" s="95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2</v>
      </c>
      <c r="R37" s="95"/>
      <c r="S37" s="96"/>
      <c r="T37" s="422">
        <f>T36-L37</f>
        <v>0.63333333333333275</v>
      </c>
      <c r="U37" s="97"/>
      <c r="V37" s="77">
        <v>0.33333333333333331</v>
      </c>
      <c r="W37" s="192">
        <v>45287</v>
      </c>
      <c r="X37" s="709"/>
      <c r="Y37" s="361">
        <f>IF(M37="O",P37 - AA37,"0:00:00")</f>
        <v>0.3125</v>
      </c>
      <c r="Z37" s="152" t="str">
        <f t="shared" si="4"/>
        <v>0:00:00</v>
      </c>
      <c r="AA37" s="140" t="str">
        <f>IF(P37="M",Q37-P37,"0:00:00")</f>
        <v>0:00:00</v>
      </c>
      <c r="AB37" s="158">
        <f>SUM(Y37:Z37)</f>
        <v>0.3125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605">
        <v>46506</v>
      </c>
      <c r="B38" s="266">
        <v>0.30972222222222223</v>
      </c>
      <c r="C38" s="266">
        <v>0.47083333333333338</v>
      </c>
      <c r="D38" s="266">
        <v>0.48402777777777778</v>
      </c>
      <c r="E38" s="266"/>
      <c r="F38" s="266"/>
      <c r="G38" s="266"/>
      <c r="H38" s="266"/>
      <c r="I38" s="266">
        <v>0.62152777777777779</v>
      </c>
      <c r="J38" s="606">
        <v>0</v>
      </c>
      <c r="K38" s="606">
        <f>IF((D38-C38)&lt;=$F$2,0,(D38-C38)-$F$2)</f>
        <v>0</v>
      </c>
      <c r="L38" s="607">
        <f>(I38-B38)-K38-(H38-G38)-J38</f>
        <v>0.31180555555555556</v>
      </c>
      <c r="M38" s="585" t="s">
        <v>45</v>
      </c>
      <c r="N38" s="316"/>
      <c r="O38" s="214"/>
      <c r="P38" s="440">
        <f t="shared" si="5"/>
        <v>0.3125</v>
      </c>
      <c r="Q38" s="101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1</v>
      </c>
      <c r="R38" s="101"/>
      <c r="S38" s="102"/>
      <c r="T38" s="442">
        <f>T37-L38</f>
        <v>0.32152777777777719</v>
      </c>
      <c r="U38" s="97"/>
      <c r="V38" s="77">
        <v>0.45833333333333331</v>
      </c>
      <c r="W38" s="192">
        <v>45288</v>
      </c>
      <c r="X38" s="709"/>
      <c r="Y38" s="361">
        <f>IF(M38="O",P38 - AA38,"0:00:00")</f>
        <v>0.3125</v>
      </c>
      <c r="Z38" s="152" t="str">
        <f t="shared" si="4"/>
        <v>0:00:00</v>
      </c>
      <c r="AA38" s="140" t="str">
        <f>IF(P38="M",Q38-P38,"0:00:00")</f>
        <v>0:00:00</v>
      </c>
      <c r="AB38" s="158">
        <f>SUM(Y38:Z38)</f>
        <v>0.3125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605">
        <v>46507</v>
      </c>
      <c r="B39" s="266">
        <v>0.3125</v>
      </c>
      <c r="C39" s="266">
        <v>0.46388888888888885</v>
      </c>
      <c r="D39" s="266">
        <v>0.4777777777777778</v>
      </c>
      <c r="E39" s="266"/>
      <c r="F39" s="266"/>
      <c r="G39" s="266"/>
      <c r="H39" s="266"/>
      <c r="I39" s="266">
        <v>0.65625</v>
      </c>
      <c r="J39" s="606">
        <v>0</v>
      </c>
      <c r="K39" s="606">
        <f>IF((D39-C39)&lt;=$F$2,0,(D39-C39)-$F$2)</f>
        <v>6.2450045135165055E-17</v>
      </c>
      <c r="L39" s="607">
        <f>(I39-B39)-K39-(H39-G39)-J39</f>
        <v>0.34374999999999994</v>
      </c>
      <c r="M39" s="586" t="s">
        <v>53</v>
      </c>
      <c r="N39" s="315"/>
      <c r="O39" s="212"/>
      <c r="P39" s="440">
        <f t="shared" si="5"/>
        <v>0.34375</v>
      </c>
      <c r="Q39" s="92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92"/>
      <c r="S39" s="93"/>
      <c r="T39" s="443">
        <f>T38-L39</f>
        <v>-2.2222222222222754E-2</v>
      </c>
      <c r="U39" s="94"/>
      <c r="V39" s="78"/>
      <c r="W39" s="192">
        <v>45289</v>
      </c>
      <c r="X39" s="709"/>
      <c r="Y39" s="142" t="str">
        <f>IF(M39="O",P39 - AA39,"0:00:00")</f>
        <v>0:00:00</v>
      </c>
      <c r="Z39" s="140">
        <f t="shared" si="4"/>
        <v>0.34375</v>
      </c>
      <c r="AA39" s="152" t="str">
        <f>IF(P39="M",Q39-P39,"0:00:00")</f>
        <v>0:00:00</v>
      </c>
      <c r="AB39" s="164">
        <f>SUM(Y39:Z39)</f>
        <v>0.34375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419">
        <f>SUM(L35:L39)</f>
        <v>1.677083333333333</v>
      </c>
      <c r="M40" s="406"/>
      <c r="N40" s="132"/>
      <c r="O40" s="133"/>
      <c r="P40" s="444">
        <f>SUM(P35:P39)</f>
        <v>1.6770833333333333</v>
      </c>
      <c r="Q40" s="63"/>
      <c r="R40" s="63"/>
      <c r="S40" s="63"/>
      <c r="T40" s="63"/>
      <c r="U40" s="387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41"/>
      <c r="B42" s="42"/>
      <c r="C42" s="42"/>
      <c r="D42" s="42"/>
      <c r="E42" s="42"/>
      <c r="F42" s="42"/>
      <c r="G42" s="42"/>
      <c r="H42" s="42"/>
      <c r="I42" s="42"/>
      <c r="J42" s="43"/>
      <c r="K42" s="43"/>
      <c r="L42" s="44"/>
      <c r="M42" s="67"/>
      <c r="N42" s="67"/>
      <c r="O42" s="67"/>
      <c r="X42" s="148"/>
      <c r="Y42" s="168">
        <f>SUM(Y7:Y11,Y14:Y18,Y21:Y25,Y28:Y32,Y35:Y39)</f>
        <v>3.78125</v>
      </c>
      <c r="Z42" s="169">
        <f>SUM(Z7:Z11,Z14:Z18,Z21:Z25,Z28:Z32,Z35:Z39)</f>
        <v>3.572916666666667</v>
      </c>
      <c r="AA42" s="169">
        <f>SUM(AA7:AA11,AA14:AA18,AA21:AA25,AA28:AA32,AA35:AA39)</f>
        <v>0</v>
      </c>
      <c r="AB42" s="170">
        <f>SUM(AB7:AB11,AB14:AB18,AB21:AB25,AB28:AB32,AB35:AB39)</f>
        <v>7.3541666666666661</v>
      </c>
      <c r="AC42" s="109"/>
      <c r="AD42" s="154"/>
    </row>
    <row r="43" spans="1:30" ht="13.5" thickBot="1" x14ac:dyDescent="0.25">
      <c r="A43" s="46" t="s">
        <v>24</v>
      </c>
      <c r="B43" s="47"/>
      <c r="C43" s="47"/>
      <c r="D43" s="47"/>
      <c r="E43" s="47"/>
      <c r="F43" s="47"/>
      <c r="G43" s="47"/>
      <c r="H43" s="47"/>
      <c r="I43" s="47"/>
      <c r="J43" s="48"/>
      <c r="K43" s="48"/>
      <c r="L43" s="49">
        <f>SUM(L33,L26,L19,L12,L40)</f>
        <v>7.3541666666666661</v>
      </c>
      <c r="M43" s="185"/>
      <c r="N43" s="185"/>
      <c r="O43" s="185"/>
      <c r="P43" s="83">
        <f>SUM(P12,P19,P26,P33,P40)</f>
        <v>7.3541666666666661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0.51416430594900853</v>
      </c>
      <c r="Z44" s="155">
        <f>Z42/C47</f>
        <v>0.48583569405099158</v>
      </c>
      <c r="AA44" s="156">
        <f>AA42/C47</f>
        <v>0</v>
      </c>
      <c r="AB44" s="180">
        <f>SUM(Y44:AA44)</f>
        <v>1</v>
      </c>
    </row>
    <row r="45" spans="1:30" ht="18.75" thickBot="1" x14ac:dyDescent="0.25">
      <c r="A45" s="15"/>
      <c r="B45" s="16"/>
      <c r="C45" s="16"/>
      <c r="D45" s="16"/>
      <c r="E45" s="16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40" t="s">
        <v>25</v>
      </c>
      <c r="B46" s="741"/>
      <c r="C46" s="18">
        <f>J1*J2</f>
        <v>7.333333333333333</v>
      </c>
      <c r="D46" s="18"/>
      <c r="E46" s="18"/>
      <c r="F46" s="19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0"/>
      <c r="B47" s="623" t="s">
        <v>26</v>
      </c>
      <c r="C47" s="22">
        <f>L43</f>
        <v>7.3541666666666661</v>
      </c>
      <c r="D47" s="22"/>
      <c r="E47" s="22"/>
      <c r="F47" s="23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0"/>
      <c r="B48" s="623" t="s">
        <v>27</v>
      </c>
      <c r="C48" s="18" t="str">
        <f>IF(C46&gt;C47,C46-C47,"00:00:00")</f>
        <v>00:00:00</v>
      </c>
      <c r="D48" s="22"/>
      <c r="E48" s="22"/>
      <c r="F48" s="24"/>
      <c r="K48" s="35"/>
      <c r="P48" s="215"/>
      <c r="Q48" s="216"/>
      <c r="R48" s="216"/>
      <c r="S48" s="216"/>
      <c r="T48" s="622"/>
      <c r="U48" s="216"/>
    </row>
    <row r="49" spans="1:30" ht="13.5" thickBot="1" x14ac:dyDescent="0.25">
      <c r="A49" s="20"/>
      <c r="B49" s="623" t="s">
        <v>28</v>
      </c>
      <c r="C49" s="18">
        <f>IF(C47&gt;C46,C47-C46,"00:00:00")</f>
        <v>2.0833333333333037E-2</v>
      </c>
      <c r="D49" s="25"/>
      <c r="E49" s="26" t="s">
        <v>29</v>
      </c>
      <c r="F49" s="19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15"/>
      <c r="B50" s="16"/>
      <c r="C50" s="16"/>
      <c r="D50" s="16"/>
      <c r="E50" s="16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0"/>
      <c r="B51" s="623" t="s">
        <v>30</v>
      </c>
      <c r="C51" s="68">
        <v>0</v>
      </c>
      <c r="D51" s="18"/>
      <c r="E51" s="27" t="s">
        <v>31</v>
      </c>
      <c r="F51" s="28" t="str">
        <f>IF(C51&gt;C52,C51-C52,"00:00:00")</f>
        <v>00:00:00</v>
      </c>
    </row>
    <row r="52" spans="1:30" ht="13.5" thickBot="1" x14ac:dyDescent="0.25">
      <c r="A52" s="20"/>
      <c r="B52" s="623" t="s">
        <v>32</v>
      </c>
      <c r="C52" s="68">
        <v>0</v>
      </c>
      <c r="D52" s="18"/>
      <c r="E52" s="27" t="s">
        <v>33</v>
      </c>
      <c r="F52" s="28" t="str">
        <f>IF(C52&gt;C51,C52-C51,"00:00:00")</f>
        <v>00:00:00</v>
      </c>
    </row>
    <row r="53" spans="1:30" ht="13.5" thickBot="1" x14ac:dyDescent="0.25">
      <c r="A53" s="712" t="s">
        <v>34</v>
      </c>
      <c r="B53" s="736"/>
      <c r="C53" s="38">
        <f>Horas!M3-Abril!J1</f>
        <v>0</v>
      </c>
      <c r="D53" s="737" t="s">
        <v>35</v>
      </c>
      <c r="E53" s="737"/>
      <c r="F53" s="39">
        <v>0</v>
      </c>
      <c r="P53" s="66"/>
      <c r="Q53" s="2"/>
      <c r="R53" s="2"/>
    </row>
    <row r="54" spans="1:30" ht="13.5" thickBot="1" x14ac:dyDescent="0.25">
      <c r="A54" s="715" t="s">
        <v>36</v>
      </c>
      <c r="B54" s="738"/>
      <c r="C54" s="36">
        <v>0</v>
      </c>
      <c r="D54" s="739" t="s">
        <v>37</v>
      </c>
      <c r="E54" s="739"/>
      <c r="F54" s="37">
        <v>0</v>
      </c>
      <c r="P54" s="66"/>
      <c r="Q54" s="2"/>
      <c r="R54" s="2"/>
    </row>
    <row r="55" spans="1:30" ht="13.5" thickBot="1" x14ac:dyDescent="0.25">
      <c r="A55" s="15"/>
      <c r="B55" s="16"/>
      <c r="C55" s="16"/>
      <c r="D55" s="16"/>
      <c r="E55" s="16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  <mergeCell ref="X21:X25"/>
    <mergeCell ref="P26:T26"/>
    <mergeCell ref="X28:X32"/>
    <mergeCell ref="P33:T33"/>
    <mergeCell ref="X35:X39"/>
    <mergeCell ref="S46:S47"/>
    <mergeCell ref="T46:T47"/>
    <mergeCell ref="A53:B53"/>
    <mergeCell ref="D53:E53"/>
    <mergeCell ref="P19:T19"/>
    <mergeCell ref="A54:B54"/>
    <mergeCell ref="D54:E54"/>
    <mergeCell ref="A46:B46"/>
    <mergeCell ref="Q46:Q47"/>
    <mergeCell ref="R46:R47"/>
  </mergeCells>
  <pageMargins left="0.75" right="0.75" top="1" bottom="1" header="0" footer="0"/>
  <pageSetup paperSize="9" scale="76" fitToWidth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E59"/>
  <sheetViews>
    <sheetView tabSelected="1" zoomScaleNormal="100" workbookViewId="0">
      <pane ySplit="6" topLeftCell="A7" activePane="bottomLeft" state="frozen"/>
      <selection pane="bottomLeft" activeCell="F28" sqref="F28"/>
    </sheetView>
  </sheetViews>
  <sheetFormatPr baseColWidth="10" defaultColWidth="11.42578125" defaultRowHeight="12.75" x14ac:dyDescent="0.2"/>
  <cols>
    <col min="1" max="1" width="11.28515625" style="2" customWidth="1"/>
    <col min="2" max="2" width="11.140625" style="2" customWidth="1"/>
    <col min="3" max="3" width="11" style="2" customWidth="1"/>
    <col min="4" max="5" width="14" style="2" customWidth="1"/>
    <col min="6" max="6" width="15.42578125" style="2" customWidth="1"/>
    <col min="7" max="7" width="13.85546875" style="2" hidden="1" customWidth="1"/>
    <col min="8" max="8" width="13" style="2" hidden="1" customWidth="1"/>
    <col min="9" max="9" width="11.42578125" style="2" customWidth="1"/>
    <col min="10" max="10" width="13.42578125" style="2" customWidth="1"/>
    <col min="11" max="11" width="15" style="2" customWidth="1"/>
    <col min="12" max="12" width="10.28515625" style="2" customWidth="1"/>
    <col min="13" max="13" width="7.28515625" style="136" bestFit="1" customWidth="1"/>
    <col min="14" max="14" width="16.7109375" style="136" customWidth="1"/>
    <col min="15" max="15" width="15" style="136" customWidth="1"/>
    <col min="16" max="16" width="9.42578125" style="52" bestFit="1" customWidth="1"/>
    <col min="17" max="17" width="3.7109375" style="40" hidden="1" customWidth="1"/>
    <col min="18" max="18" width="8.28515625" style="14" hidden="1" customWidth="1"/>
    <col min="19" max="19" width="8.28515625" style="2" hidden="1" customWidth="1"/>
    <col min="20" max="20" width="10.42578125" style="65" hidden="1" customWidth="1"/>
    <col min="21" max="21" width="2.42578125" style="2" customWidth="1"/>
    <col min="22" max="22" width="9.85546875" style="2" hidden="1" customWidth="1"/>
    <col min="23" max="23" width="11.28515625" style="136" hidden="1" customWidth="1"/>
    <col min="24" max="24" width="4.28515625" style="2" hidden="1" customWidth="1"/>
    <col min="25" max="25" width="11.42578125" style="2" bestFit="1" customWidth="1"/>
    <col min="26" max="26" width="11.28515625" style="2" customWidth="1"/>
    <col min="27" max="27" width="12" style="2" bestFit="1" customWidth="1"/>
    <col min="28" max="28" width="9.7109375" style="2" customWidth="1"/>
    <col min="29" max="29" width="9.42578125" style="103" hidden="1" customWidth="1"/>
    <col min="30" max="30" width="16.28515625" style="2" hidden="1" customWidth="1"/>
    <col min="31" max="31" width="11.7109375" style="2" bestFit="1" customWidth="1"/>
    <col min="32" max="16384" width="11.42578125" style="2"/>
  </cols>
  <sheetData>
    <row r="1" spans="1:31" ht="13.5" customHeight="1" thickBot="1" x14ac:dyDescent="0.25">
      <c r="A1" s="31" t="s">
        <v>0</v>
      </c>
      <c r="B1" s="726" t="s">
        <v>38</v>
      </c>
      <c r="C1" s="727"/>
      <c r="D1" s="728"/>
      <c r="E1" s="29" t="s">
        <v>1</v>
      </c>
      <c r="F1" s="10">
        <v>2.0833333333333329E-2</v>
      </c>
      <c r="I1" s="6" t="s">
        <v>2</v>
      </c>
      <c r="J1" s="7">
        <v>17</v>
      </c>
      <c r="K1" s="13"/>
      <c r="L1" s="34"/>
      <c r="M1" s="113"/>
      <c r="N1" s="113"/>
      <c r="O1" s="113"/>
      <c r="P1" s="686"/>
      <c r="Q1" s="687"/>
      <c r="R1" s="687"/>
      <c r="S1" s="687"/>
      <c r="T1" s="687"/>
      <c r="U1" s="688"/>
      <c r="V1" s="682"/>
      <c r="W1" s="689"/>
      <c r="X1" s="689"/>
      <c r="Y1" s="689"/>
      <c r="Z1" s="689"/>
      <c r="AA1" s="689"/>
      <c r="AB1" s="689"/>
    </row>
    <row r="2" spans="1:31" ht="13.5" customHeight="1" thickBot="1" x14ac:dyDescent="0.25">
      <c r="A2" s="32" t="s">
        <v>3</v>
      </c>
      <c r="B2" s="729"/>
      <c r="C2" s="730"/>
      <c r="D2" s="731"/>
      <c r="E2" s="30" t="s">
        <v>4</v>
      </c>
      <c r="F2" s="11">
        <v>1.3888888888888888E-2</v>
      </c>
      <c r="I2" s="8" t="s">
        <v>5</v>
      </c>
      <c r="J2" s="9">
        <v>0.33333333333333331</v>
      </c>
      <c r="K2" s="1"/>
      <c r="L2" s="12"/>
      <c r="M2" s="114"/>
      <c r="N2" s="114"/>
      <c r="O2" s="114"/>
      <c r="P2" s="686"/>
      <c r="Q2" s="687"/>
      <c r="R2" s="687"/>
      <c r="S2" s="687"/>
      <c r="T2" s="687"/>
      <c r="U2" s="688"/>
      <c r="V2" s="682"/>
      <c r="W2" s="689"/>
      <c r="X2" s="689"/>
      <c r="Y2" s="689"/>
      <c r="Z2" s="689"/>
      <c r="AA2" s="689"/>
      <c r="AB2" s="689"/>
    </row>
    <row r="3" spans="1:31" ht="13.5" customHeight="1" thickBot="1" x14ac:dyDescent="0.25">
      <c r="A3" s="33" t="s">
        <v>6</v>
      </c>
      <c r="B3" s="732">
        <v>46143</v>
      </c>
      <c r="C3" s="733"/>
      <c r="D3" s="734"/>
      <c r="E3" s="86" t="s">
        <v>39</v>
      </c>
      <c r="F3" s="87">
        <v>50</v>
      </c>
      <c r="G3" s="88"/>
      <c r="H3" s="89"/>
      <c r="I3" s="90" t="s">
        <v>40</v>
      </c>
      <c r="J3" s="91">
        <v>8</v>
      </c>
      <c r="K3" s="1"/>
      <c r="L3" s="1"/>
      <c r="M3" s="115"/>
      <c r="N3" s="115"/>
      <c r="O3" s="115"/>
      <c r="Q3" s="54"/>
      <c r="R3" s="54"/>
      <c r="S3" s="35"/>
      <c r="T3" s="184"/>
      <c r="U3" s="35"/>
      <c r="V3" s="183"/>
    </row>
    <row r="4" spans="1:31" ht="13.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07"/>
      <c r="M4" s="506"/>
      <c r="N4" s="735" t="s">
        <v>43</v>
      </c>
      <c r="O4" s="697"/>
      <c r="R4" s="40"/>
      <c r="S4" s="35"/>
      <c r="T4" s="53"/>
      <c r="V4" s="112"/>
    </row>
    <row r="5" spans="1:31" ht="13.5" customHeight="1" thickBot="1" x14ac:dyDescent="0.25">
      <c r="A5" s="329" t="s">
        <v>7</v>
      </c>
      <c r="B5" s="330" t="s">
        <v>8</v>
      </c>
      <c r="C5" s="330" t="s">
        <v>9</v>
      </c>
      <c r="D5" s="330" t="s">
        <v>10</v>
      </c>
      <c r="E5" s="330" t="s">
        <v>11</v>
      </c>
      <c r="F5" s="330" t="s">
        <v>12</v>
      </c>
      <c r="G5" s="330" t="s">
        <v>13</v>
      </c>
      <c r="H5" s="330" t="s">
        <v>14</v>
      </c>
      <c r="I5" s="330" t="s">
        <v>15</v>
      </c>
      <c r="J5" s="330" t="s">
        <v>16</v>
      </c>
      <c r="K5" s="330" t="s">
        <v>17</v>
      </c>
      <c r="L5" s="331" t="s">
        <v>18</v>
      </c>
      <c r="M5" s="394" t="s">
        <v>44</v>
      </c>
      <c r="N5" s="332" t="s">
        <v>12</v>
      </c>
      <c r="O5" s="333" t="s">
        <v>15</v>
      </c>
      <c r="T5" s="55">
        <f>C46</f>
        <v>5.6666666666666661</v>
      </c>
      <c r="U5" s="56"/>
      <c r="V5" s="137" t="s">
        <v>46</v>
      </c>
      <c r="W5" s="174" t="s">
        <v>7</v>
      </c>
      <c r="X5" s="35"/>
      <c r="Y5" s="698" t="s">
        <v>47</v>
      </c>
      <c r="Z5" s="699"/>
      <c r="AA5" s="699"/>
      <c r="AB5" s="700"/>
      <c r="AC5" s="104" t="s">
        <v>41</v>
      </c>
      <c r="AD5" s="105" t="s">
        <v>42</v>
      </c>
    </row>
    <row r="6" spans="1:31" ht="15.75" thickBot="1" x14ac:dyDescent="0.25">
      <c r="A6" s="334"/>
      <c r="B6" s="327"/>
      <c r="C6" s="327"/>
      <c r="D6" s="327"/>
      <c r="E6" s="327"/>
      <c r="F6" s="327"/>
      <c r="G6" s="327"/>
      <c r="H6" s="327"/>
      <c r="I6" s="327"/>
      <c r="J6" s="328"/>
      <c r="K6" s="328"/>
      <c r="L6" s="390"/>
      <c r="M6" s="411"/>
      <c r="N6" s="130"/>
      <c r="O6" s="131"/>
      <c r="P6" s="337"/>
      <c r="Q6" s="57">
        <v>1</v>
      </c>
      <c r="R6" s="57"/>
      <c r="S6" s="58"/>
      <c r="T6" s="59"/>
      <c r="U6" s="374"/>
      <c r="V6" s="171"/>
      <c r="W6" s="175"/>
      <c r="X6" s="176"/>
      <c r="Y6" s="177" t="s">
        <v>48</v>
      </c>
      <c r="Z6" s="620" t="s">
        <v>49</v>
      </c>
      <c r="AA6" s="620" t="s">
        <v>50</v>
      </c>
      <c r="AB6" s="621" t="s">
        <v>51</v>
      </c>
      <c r="AC6" s="104"/>
      <c r="AD6" s="186"/>
    </row>
    <row r="7" spans="1:31" ht="12.75" customHeight="1" thickBot="1" x14ac:dyDescent="0.25">
      <c r="A7" s="605">
        <v>46510</v>
      </c>
      <c r="B7" s="608">
        <v>0.30972222222222223</v>
      </c>
      <c r="C7" s="608">
        <v>0.48402777777777778</v>
      </c>
      <c r="D7" s="608">
        <v>0.49722222222222223</v>
      </c>
      <c r="E7" s="660"/>
      <c r="F7" s="660"/>
      <c r="G7" s="608"/>
      <c r="H7" s="608"/>
      <c r="I7" s="608">
        <v>0.62361111111111112</v>
      </c>
      <c r="J7" s="606">
        <f>F7-E7</f>
        <v>0</v>
      </c>
      <c r="K7" s="606">
        <f>IF((D7-C7)&lt;=$F$2,0,(D7-C7)-$F$2)</f>
        <v>0</v>
      </c>
      <c r="L7" s="607">
        <f>(I7-B7)-K7-(H7-G7)-J7</f>
        <v>0.31388888888888888</v>
      </c>
      <c r="M7" s="412" t="s">
        <v>45</v>
      </c>
      <c r="N7" s="219"/>
      <c r="O7" s="212"/>
      <c r="P7" s="420">
        <f>MROUND(L7,"0:15")</f>
        <v>0.3125</v>
      </c>
      <c r="Q7" s="71">
        <f>VALUE(MID(TEXT(L7,"hh:mm:ss"),4,2)+Q6)-IF(ABS((MID(TEXT(L7,"hh:mm:ss"),4,2)+Q6)-FLOOR((MID(TEXT(L7,"hh:mm:ss"),4,2)+Q6),15))&gt;ABS((MID(TEXT(L7,"hh:mm:ss"),4,2)+Q6)-CEILING((MID(TEXT(L7,"hh:mm:ss"),4,2)+Q6),15)),CEILING((MID(TEXT(L7,"hh:mm:ss"),4,2)+Q6),15),FLOOR((MID(TEXT(L7,"hh:mm:ss"),4,2)+Q6),15))</f>
        <v>3</v>
      </c>
      <c r="R7" s="71"/>
      <c r="S7" s="72"/>
      <c r="T7" s="421">
        <f>T5-L7</f>
        <v>5.352777777777777</v>
      </c>
      <c r="U7" s="74"/>
      <c r="V7" s="76">
        <v>0</v>
      </c>
      <c r="W7" s="192"/>
      <c r="X7" s="701"/>
      <c r="Y7" s="142">
        <f>IF(M7="O",P7 - AA7,"0:00:00")</f>
        <v>0.3125</v>
      </c>
      <c r="Z7" s="138" t="str">
        <f>IF(M7="C",P7,"0:00:00")</f>
        <v>0:00:00</v>
      </c>
      <c r="AA7" s="138" t="str">
        <f>IF(P7="M",Q7-P7,"0:00:00")</f>
        <v>0:00:00</v>
      </c>
      <c r="AB7" s="157">
        <f>SUM(Y7:Z7)</f>
        <v>0.3125</v>
      </c>
      <c r="AC7" s="139">
        <v>0</v>
      </c>
      <c r="AD7" s="188"/>
      <c r="AE7" s="256"/>
    </row>
    <row r="8" spans="1:31" ht="12.75" customHeight="1" thickBot="1" x14ac:dyDescent="0.25">
      <c r="A8" s="605">
        <v>46511</v>
      </c>
      <c r="B8" s="608">
        <v>0.3125</v>
      </c>
      <c r="C8" s="608">
        <v>0.47916666666666669</v>
      </c>
      <c r="D8" s="608">
        <v>0.4916666666666667</v>
      </c>
      <c r="E8" s="608"/>
      <c r="F8" s="608"/>
      <c r="G8" s="608"/>
      <c r="H8" s="608"/>
      <c r="I8" s="608">
        <v>0.72916666666666663</v>
      </c>
      <c r="J8" s="606">
        <f>IF((F8-E8)&lt;$F$1,$F$1,F8-E8)</f>
        <v>2.0833333333333329E-2</v>
      </c>
      <c r="K8" s="606">
        <f>IF((D8-C8)&lt;=$F$2,0,(D8-C8)-$F$2)</f>
        <v>0</v>
      </c>
      <c r="L8" s="607">
        <f>(I8-B8)-K8-(H8-G8)-J8</f>
        <v>0.39583333333333331</v>
      </c>
      <c r="M8" s="412" t="s">
        <v>53</v>
      </c>
      <c r="N8" s="315"/>
      <c r="O8" s="212"/>
      <c r="P8" s="420">
        <f>MROUND(L8,"0:15")</f>
        <v>0.39583333333333331</v>
      </c>
      <c r="Q8" s="95">
        <f>VALUE(MID(TEXT(L8,"hh:mm:ss"),4,2)+Q7)-IF(ABS((MID(TEXT(L8,"hh:mm:ss"),4,2)+Q7)-FLOOR((MID(TEXT(L8,"hh:mm:ss"),4,2)+Q7),15))&gt;ABS((MID(TEXT(L8,"hh:mm:ss"),4,2)+Q7)-CEILING((MID(TEXT(L8,"hh:mm:ss"),4,2)+Q7),15)),CEILING((MID(TEXT(L8,"hh:mm:ss"),4,2)+Q7),15),FLOOR((MID(TEXT(L8,"hh:mm:ss"),4,2)+Q7),15))</f>
        <v>3</v>
      </c>
      <c r="R8" s="95"/>
      <c r="S8" s="96"/>
      <c r="T8" s="422">
        <f>T7-L8</f>
        <v>4.9569444444444439</v>
      </c>
      <c r="U8" s="97"/>
      <c r="V8" s="77">
        <v>0</v>
      </c>
      <c r="W8" s="193"/>
      <c r="X8" s="689"/>
      <c r="Y8" s="142" t="str">
        <f>IF(M8="O",P8 - AA8,"0:00:00")</f>
        <v>0:00:00</v>
      </c>
      <c r="Z8" s="140">
        <f>IF(M8="C",P8,"0:00:00")</f>
        <v>0.39583333333333331</v>
      </c>
      <c r="AA8" s="140">
        <v>0</v>
      </c>
      <c r="AB8" s="158">
        <f>SUM(Y8:Z8)</f>
        <v>0.39583333333333331</v>
      </c>
      <c r="AC8" s="141">
        <v>0</v>
      </c>
      <c r="AD8" s="189"/>
    </row>
    <row r="9" spans="1:31" s="1" customFormat="1" ht="12.75" customHeight="1" thickBot="1" x14ac:dyDescent="0.25">
      <c r="A9" s="605">
        <v>46512</v>
      </c>
      <c r="B9" s="608">
        <v>0.30972222222222223</v>
      </c>
      <c r="C9" s="608">
        <v>0.47500000000000003</v>
      </c>
      <c r="D9" s="608">
        <v>0.48749999999999999</v>
      </c>
      <c r="E9" s="660"/>
      <c r="F9" s="660"/>
      <c r="G9" s="608"/>
      <c r="H9" s="608"/>
      <c r="I9" s="608">
        <v>0.62152777777777779</v>
      </c>
      <c r="J9" s="606">
        <f t="shared" ref="J9:J10" si="0">F9-E9</f>
        <v>0</v>
      </c>
      <c r="K9" s="606">
        <f>IF((D9-C9)&lt;=$F$2,0,(D9-C9)-$F$2)</f>
        <v>0</v>
      </c>
      <c r="L9" s="607">
        <f>(I9-B9)-K9-(H9-G9)-J9</f>
        <v>0.31180555555555556</v>
      </c>
      <c r="M9" s="413" t="s">
        <v>45</v>
      </c>
      <c r="N9" s="315"/>
      <c r="O9" s="212"/>
      <c r="P9" s="420">
        <f>MROUND(L9,"0:15")</f>
        <v>0.3125</v>
      </c>
      <c r="Q9" s="84">
        <f>VALUE(MID(TEXT(L9,"hh:mm:ss"),4,2)+Q8)-IF(ABS((MID(TEXT(L9,"hh:mm:ss"),4,2)+Q8)-FLOOR((MID(TEXT(L9,"hh:mm:ss"),4,2)+Q8),15))&gt;ABS((MID(TEXT(L9,"hh:mm:ss"),4,2)+Q8)-CEILING((MID(TEXT(L9,"hh:mm:ss"),4,2)+Q8),15)),CEILING((MID(TEXT(L9,"hh:mm:ss"),4,2)+Q8),15),FLOOR((MID(TEXT(L9,"hh:mm:ss"),4,2)+Q8),15))</f>
        <v>2</v>
      </c>
      <c r="R9" s="84"/>
      <c r="S9" s="85"/>
      <c r="T9" s="423">
        <f>T8-L9</f>
        <v>4.645138888888888</v>
      </c>
      <c r="U9" s="366"/>
      <c r="V9" s="182">
        <v>0</v>
      </c>
      <c r="W9" s="194"/>
      <c r="X9" s="689"/>
      <c r="Y9" s="375">
        <f>IF(M9="O",P9 - AA9,"0:00:00")</f>
        <v>0.3125</v>
      </c>
      <c r="Z9" s="376" t="str">
        <f>IF(M9="C",P9,"0:00:00")</f>
        <v>0:00:00</v>
      </c>
      <c r="AA9" s="367" t="str">
        <f>IF(P9="M",Q9-P9,"0:00:00")</f>
        <v>0:00:00</v>
      </c>
      <c r="AB9" s="368">
        <f>SUM(Y9:Z9)</f>
        <v>0.3125</v>
      </c>
      <c r="AC9" s="195">
        <v>0</v>
      </c>
      <c r="AD9" s="196" t="b">
        <f>V9=AC9</f>
        <v>1</v>
      </c>
    </row>
    <row r="10" spans="1:31" ht="12.75" customHeight="1" thickBot="1" x14ac:dyDescent="0.25">
      <c r="A10" s="605">
        <v>46513</v>
      </c>
      <c r="B10" s="608">
        <v>0.30972222222222223</v>
      </c>
      <c r="C10" s="608">
        <v>0.47083333333333338</v>
      </c>
      <c r="D10" s="608">
        <v>0.48402777777777778</v>
      </c>
      <c r="E10" s="608"/>
      <c r="F10" s="608"/>
      <c r="G10" s="608"/>
      <c r="H10" s="608"/>
      <c r="I10" s="608">
        <v>0.62152777777777779</v>
      </c>
      <c r="J10" s="606">
        <f t="shared" si="0"/>
        <v>0</v>
      </c>
      <c r="K10" s="606">
        <f>IF((D10-C10)&lt;=$F$2,0,(D10-C10)-$F$2)</f>
        <v>0</v>
      </c>
      <c r="L10" s="607">
        <f>(I10-B10)-K10-(H10-G10)-J10</f>
        <v>0.31180555555555556</v>
      </c>
      <c r="M10" s="413" t="s">
        <v>45</v>
      </c>
      <c r="N10" s="316"/>
      <c r="O10" s="214"/>
      <c r="P10" s="420">
        <f>MROUND(L10,"0:15")</f>
        <v>0.3125</v>
      </c>
      <c r="Q10" s="84">
        <f>VALUE(MID(TEXT(L10,"hh:mm:ss"),4,2)+Q9)-IF(ABS((MID(TEXT(L10,"hh:mm:ss"),4,2)+Q9)-FLOOR((MID(TEXT(L10,"hh:mm:ss"),4,2)+Q9),15))&gt;ABS((MID(TEXT(L10,"hh:mm:ss"),4,2)+Q9)-CEILING((MID(TEXT(L10,"hh:mm:ss"),4,2)+Q9),15)),CEILING((MID(TEXT(L10,"hh:mm:ss"),4,2)+Q9),15),FLOOR((MID(TEXT(L10,"hh:mm:ss"),4,2)+Q9),15))</f>
        <v>1</v>
      </c>
      <c r="R10" s="84"/>
      <c r="S10" s="85"/>
      <c r="T10" s="423">
        <f>T9-L10</f>
        <v>4.3333333333333321</v>
      </c>
      <c r="U10" s="366"/>
      <c r="V10" s="182">
        <v>0.45833333333333331</v>
      </c>
      <c r="W10" s="194"/>
      <c r="X10" s="689"/>
      <c r="Y10" s="142">
        <f>IF(M10="O",P10 - AA10,"0:00:00")</f>
        <v>0.3125</v>
      </c>
      <c r="Z10" s="379" t="str">
        <f>IF(M10="C",P10,"0:00:00")</f>
        <v>0:00:00</v>
      </c>
      <c r="AA10" s="140" t="str">
        <f>IF(P10="M",Q10-P10,"0:00:00")</f>
        <v>0:00:00</v>
      </c>
      <c r="AB10" s="158">
        <f>SUM(Y10:Z10)</f>
        <v>0.3125</v>
      </c>
      <c r="AC10" s="141">
        <v>0.45833333333333331</v>
      </c>
      <c r="AD10" s="189" t="b">
        <f>V10=AC10</f>
        <v>1</v>
      </c>
    </row>
    <row r="11" spans="1:31" ht="13.5" customHeight="1" thickBot="1" x14ac:dyDescent="0.25">
      <c r="A11" s="605">
        <v>46514</v>
      </c>
      <c r="B11" s="608">
        <v>0.3125</v>
      </c>
      <c r="C11" s="608">
        <v>0.46388888888888885</v>
      </c>
      <c r="D11" s="608">
        <v>0.4777777777777778</v>
      </c>
      <c r="E11" s="608"/>
      <c r="F11" s="608"/>
      <c r="G11" s="608"/>
      <c r="H11" s="608"/>
      <c r="I11" s="608">
        <v>0.65625</v>
      </c>
      <c r="J11" s="606">
        <v>0</v>
      </c>
      <c r="K11" s="606">
        <f>IF((D11-C11)&lt;=$F$2,0,(D11-C11)-$F$2)</f>
        <v>6.2450045135165055E-17</v>
      </c>
      <c r="L11" s="607">
        <f>(I11-B11)-K11-(H11-G11)-J11</f>
        <v>0.34374999999999994</v>
      </c>
      <c r="M11" s="414" t="s">
        <v>53</v>
      </c>
      <c r="N11" s="315"/>
      <c r="O11" s="212"/>
      <c r="P11" s="424">
        <f>MROUND(L11,"0:15")</f>
        <v>0.34375</v>
      </c>
      <c r="Q11" s="382">
        <f>VALUE(MID(TEXT(L11,"hh:mm:ss"),4,2)+Q10)-IF(ABS((MID(TEXT(L11,"hh:mm:ss"),4,2)+Q10)-FLOOR((MID(TEXT(L11,"hh:mm:ss"),4,2)+Q10),15))&gt;ABS((MID(TEXT(L11,"hh:mm:ss"),4,2)+Q10)-CEILING((MID(TEXT(L11,"hh:mm:ss"),4,2)+Q10),15)),CEILING((MID(TEXT(L11,"hh:mm:ss"),4,2)+Q10),15),FLOOR((MID(TEXT(L11,"hh:mm:ss"),4,2)+Q10),15))</f>
        <v>1</v>
      </c>
      <c r="R11" s="382"/>
      <c r="S11" s="383"/>
      <c r="T11" s="425">
        <f>T10-L11</f>
        <v>3.9895833333333321</v>
      </c>
      <c r="U11" s="369"/>
      <c r="V11" s="182">
        <v>0.29166666666666669</v>
      </c>
      <c r="W11" s="194">
        <v>45261</v>
      </c>
      <c r="X11" s="702"/>
      <c r="Y11" s="361" t="str">
        <f>IF(M11="O",P11 - AA11,"0:00:00")</f>
        <v>0:00:00</v>
      </c>
      <c r="Z11" s="379">
        <f>IF(M11="C",P11,"0:00:00")</f>
        <v>0.34375</v>
      </c>
      <c r="AA11" s="143" t="str">
        <f>IF(P11="M",Q11-P11,"0:00:00")</f>
        <v>0:00:00</v>
      </c>
      <c r="AB11" s="159">
        <f>SUM(Y11:Z11)</f>
        <v>0.34375</v>
      </c>
      <c r="AC11" s="144">
        <v>0.29166666666666669</v>
      </c>
      <c r="AD11" s="190" t="b">
        <f>V11=AC11</f>
        <v>1</v>
      </c>
    </row>
    <row r="12" spans="1:31" ht="15.75" thickBot="1" x14ac:dyDescent="0.25">
      <c r="A12" s="227" t="s">
        <v>19</v>
      </c>
      <c r="B12" s="254"/>
      <c r="C12" s="254"/>
      <c r="D12" s="254"/>
      <c r="E12" s="254"/>
      <c r="F12" s="254"/>
      <c r="G12" s="254"/>
      <c r="H12" s="254"/>
      <c r="I12" s="254"/>
      <c r="J12" s="246"/>
      <c r="K12" s="247"/>
      <c r="L12" s="391">
        <f>SUM(L7:L11)</f>
        <v>1.677083333333333</v>
      </c>
      <c r="M12" s="396"/>
      <c r="N12" s="128"/>
      <c r="O12" s="129"/>
      <c r="P12" s="706">
        <f>SUM(P7:P11)</f>
        <v>1.6770833333333333</v>
      </c>
      <c r="Q12" s="707"/>
      <c r="R12" s="707"/>
      <c r="S12" s="707"/>
      <c r="T12" s="708"/>
      <c r="U12" s="384"/>
      <c r="V12" s="172"/>
      <c r="W12" s="191" t="s">
        <v>19</v>
      </c>
      <c r="X12" s="145"/>
      <c r="Y12" s="346"/>
      <c r="Z12" s="347"/>
      <c r="AA12" s="162"/>
      <c r="AB12" s="163"/>
      <c r="AC12" s="146"/>
      <c r="AD12" s="187"/>
    </row>
    <row r="13" spans="1:31" ht="15.75" thickBot="1" x14ac:dyDescent="0.25">
      <c r="A13" s="222"/>
      <c r="B13" s="257"/>
      <c r="C13" s="257"/>
      <c r="D13" s="257"/>
      <c r="E13" s="257"/>
      <c r="F13" s="257"/>
      <c r="G13" s="257"/>
      <c r="H13" s="257"/>
      <c r="I13" s="257"/>
      <c r="J13" s="248"/>
      <c r="K13" s="248"/>
      <c r="L13" s="392"/>
      <c r="M13" s="415"/>
      <c r="N13" s="130"/>
      <c r="O13" s="131"/>
      <c r="P13" s="426"/>
      <c r="Q13" s="338">
        <f>Q11</f>
        <v>1</v>
      </c>
      <c r="R13" s="338"/>
      <c r="S13" s="339"/>
      <c r="T13" s="427"/>
      <c r="U13" s="374"/>
      <c r="V13" s="35"/>
      <c r="W13" s="69"/>
      <c r="X13" s="148"/>
      <c r="Y13" s="160"/>
      <c r="Z13" s="161"/>
      <c r="AA13" s="162"/>
      <c r="AB13" s="163"/>
      <c r="AC13" s="146"/>
      <c r="AD13" s="149"/>
    </row>
    <row r="14" spans="1:31" s="1" customFormat="1" ht="12" thickBot="1" x14ac:dyDescent="0.25">
      <c r="A14" s="226">
        <v>46517</v>
      </c>
      <c r="B14" s="266">
        <v>0.30972222222222223</v>
      </c>
      <c r="C14" s="266">
        <v>0.48402777777777778</v>
      </c>
      <c r="D14" s="266">
        <v>0.49722222222222223</v>
      </c>
      <c r="E14" s="266"/>
      <c r="F14" s="266"/>
      <c r="G14" s="266"/>
      <c r="H14" s="266"/>
      <c r="I14" s="266">
        <v>0.62361111111111112</v>
      </c>
      <c r="J14" s="265">
        <f>F14-E14</f>
        <v>0</v>
      </c>
      <c r="K14" s="265">
        <f>IF((D14-C14)&lt;=$F$2,0,(D14-C14)-$F$2)</f>
        <v>0</v>
      </c>
      <c r="L14" s="319">
        <f>(I14-B14)-K14-(H14-G14)-J14</f>
        <v>0.31388888888888888</v>
      </c>
      <c r="M14" s="412" t="s">
        <v>45</v>
      </c>
      <c r="N14" s="211"/>
      <c r="O14" s="212"/>
      <c r="P14" s="428">
        <f>MROUND(L14,"0:15")</f>
        <v>0.3125</v>
      </c>
      <c r="Q14" s="201">
        <f>VALUE(MID(TEXT(L14,"hh:mm:ss"),4,2)+Q13)-IF(ABS((MID(TEXT(L14,"hh:mm:ss"),4,2)+Q13)-FLOOR((MID(TEXT(L14,"hh:mm:ss"),4,2)+Q13),15))&gt;ABS((MID(TEXT(L14,"hh:mm:ss"),4,2)+Q13)-CEILING((MID(TEXT(L14,"hh:mm:ss"),4,2)+Q13),15)),CEILING((MID(TEXT(L14,"hh:mm:ss"),4,2)+Q13),15),FLOOR((MID(TEXT(L14,"hh:mm:ss"),4,2)+Q13),15))</f>
        <v>3</v>
      </c>
      <c r="R14" s="201"/>
      <c r="S14" s="202"/>
      <c r="T14" s="429">
        <f>T11-L14</f>
        <v>3.675694444444443</v>
      </c>
      <c r="U14" s="370"/>
      <c r="V14" s="205">
        <v>0.30208333333333331</v>
      </c>
      <c r="W14" s="204">
        <v>45264</v>
      </c>
      <c r="X14" s="682"/>
      <c r="Y14" s="345">
        <f>IF(M14="O",P14 - AA14,"0:00:00")</f>
        <v>0.3125</v>
      </c>
      <c r="Z14" s="349" t="str">
        <f>IF(M14="C",P14,"0:00:00")</f>
        <v>0:00:00</v>
      </c>
      <c r="AA14" s="138" t="str">
        <f>IF(P14="M",Q14-P14,"0:00:00")</f>
        <v>0:00:00</v>
      </c>
      <c r="AB14" s="157">
        <f>SUM(Y14:Z14)</f>
        <v>0.3125</v>
      </c>
      <c r="AC14" s="106">
        <v>0.30208333333333331</v>
      </c>
      <c r="AD14" s="188" t="b">
        <f>V14=AC14</f>
        <v>1</v>
      </c>
    </row>
    <row r="15" spans="1:31" ht="15" customHeight="1" thickBot="1" x14ac:dyDescent="0.25">
      <c r="A15" s="226">
        <v>46518</v>
      </c>
      <c r="B15" s="266">
        <v>0.3125</v>
      </c>
      <c r="C15" s="266">
        <v>0.47916666666666669</v>
      </c>
      <c r="D15" s="266">
        <v>0.4916666666666667</v>
      </c>
      <c r="E15" s="266"/>
      <c r="F15" s="266"/>
      <c r="G15" s="266"/>
      <c r="H15" s="266"/>
      <c r="I15" s="266">
        <v>0.72916666666666663</v>
      </c>
      <c r="J15" s="265">
        <f>IF((F15-E15)&lt;$F$1,$F$1,F15-E15)</f>
        <v>2.0833333333333329E-2</v>
      </c>
      <c r="K15" s="265">
        <f>IF((D15-C15)&lt;=$F$2,0,(D15-C15)-$F$2)</f>
        <v>0</v>
      </c>
      <c r="L15" s="319">
        <f>(I15-B15)-K15-(H15-G15)-J15</f>
        <v>0.39583333333333331</v>
      </c>
      <c r="M15" s="412" t="s">
        <v>53</v>
      </c>
      <c r="N15" s="211"/>
      <c r="O15" s="212"/>
      <c r="P15" s="428">
        <f>MROUND(L15,"0:15")</f>
        <v>0.39583333333333331</v>
      </c>
      <c r="Q15" s="84">
        <f>VALUE(MID(TEXT(L15,"hh:mm:ss"),4,2)+Q14)-IF(ABS((MID(TEXT(L15,"hh:mm:ss"),4,2)+Q14)-FLOOR((MID(TEXT(L15,"hh:mm:ss"),4,2)+Q14),15))&gt;ABS((MID(TEXT(L15,"hh:mm:ss"),4,2)+Q14)-CEILING((MID(TEXT(L15,"hh:mm:ss"),4,2)+Q14),15)),CEILING((MID(TEXT(L15,"hh:mm:ss"),4,2)+Q14),15),FLOOR((MID(TEXT(L15,"hh:mm:ss"),4,2)+Q14),15))</f>
        <v>3</v>
      </c>
      <c r="R15" s="84"/>
      <c r="S15" s="85"/>
      <c r="T15" s="423">
        <f>T14-L15</f>
        <v>3.2798611111111096</v>
      </c>
      <c r="U15" s="366"/>
      <c r="V15" s="206">
        <v>0.25</v>
      </c>
      <c r="W15" s="204">
        <v>45265</v>
      </c>
      <c r="X15" s="682"/>
      <c r="Y15" s="361" t="str">
        <f>IF(M15="O",P15 - AA15,"0:00:00")</f>
        <v>0:00:00</v>
      </c>
      <c r="Z15" s="152">
        <f>IF(M15="C",P15,"0:00:00")</f>
        <v>0.39583333333333331</v>
      </c>
      <c r="AA15" s="152" t="str">
        <f>IF(P15="M",Q15-P15,"0:00:00")</f>
        <v>0:00:00</v>
      </c>
      <c r="AB15" s="164">
        <f>SUM(Y15:Z15)</f>
        <v>0.39583333333333331</v>
      </c>
      <c r="AC15" s="107">
        <v>0.25</v>
      </c>
      <c r="AD15" s="189" t="b">
        <f>V15=AC15</f>
        <v>1</v>
      </c>
    </row>
    <row r="16" spans="1:31" s="1" customFormat="1" ht="12.75" customHeight="1" thickBot="1" x14ac:dyDescent="0.25">
      <c r="A16" s="226">
        <v>46519</v>
      </c>
      <c r="B16" s="266">
        <v>0.30972222222222223</v>
      </c>
      <c r="C16" s="266">
        <v>0.47500000000000003</v>
      </c>
      <c r="D16" s="266">
        <v>0.48749999999999999</v>
      </c>
      <c r="E16" s="266"/>
      <c r="F16" s="266"/>
      <c r="G16" s="266"/>
      <c r="H16" s="266"/>
      <c r="I16" s="266">
        <v>0.62152777777777779</v>
      </c>
      <c r="J16" s="265">
        <f t="shared" ref="J16:J17" si="1">F16-E16</f>
        <v>0</v>
      </c>
      <c r="K16" s="265">
        <f>IF((D16-C16)&lt;=$F$2,0,(D16-C16)-$F$2)</f>
        <v>0</v>
      </c>
      <c r="L16" s="319">
        <f>(I16-B16)-K16-(H16-G16)-J16</f>
        <v>0.31180555555555556</v>
      </c>
      <c r="M16" s="412" t="s">
        <v>45</v>
      </c>
      <c r="N16" s="211"/>
      <c r="O16" s="212"/>
      <c r="P16" s="430">
        <f>MROUND(L16,"0:15")</f>
        <v>0.3125</v>
      </c>
      <c r="Q16" s="95">
        <f>VALUE(MID(TEXT(L16,"hh:mm:ss"),4,2)+Q15)-IF(ABS((MID(TEXT(L16,"hh:mm:ss"),4,2)+Q15)-FLOOR((MID(TEXT(L16,"hh:mm:ss"),4,2)+Q15),15))&gt;ABS((MID(TEXT(L16,"hh:mm:ss"),4,2)+Q15)-CEILING((MID(TEXT(L16,"hh:mm:ss"),4,2)+Q15),15)),CEILING((MID(TEXT(L16,"hh:mm:ss"),4,2)+Q15),15),FLOOR((MID(TEXT(L16,"hh:mm:ss"),4,2)+Q15),15))</f>
        <v>2</v>
      </c>
      <c r="R16" s="95"/>
      <c r="S16" s="96"/>
      <c r="T16" s="431">
        <f>T15-P16</f>
        <v>2.9673611111111096</v>
      </c>
      <c r="U16" s="97"/>
      <c r="V16" s="206">
        <v>0.23958333333333334</v>
      </c>
      <c r="W16" s="204">
        <v>45266</v>
      </c>
      <c r="X16" s="682"/>
      <c r="Y16" s="361">
        <f>IF(M16="O",P16 - AA16,"0:00:00")</f>
        <v>0.3125</v>
      </c>
      <c r="Z16" s="152" t="str">
        <f>IF(M16="C",P16,"0:00:00")</f>
        <v>0:00:00</v>
      </c>
      <c r="AA16" s="152" t="str">
        <f>IF(P16="M",Q16-P16,"0:00:00")</f>
        <v>0:00:00</v>
      </c>
      <c r="AB16" s="152">
        <f>SUM(Y16:Z16)</f>
        <v>0.3125</v>
      </c>
      <c r="AC16" s="107">
        <v>0.23958333333333334</v>
      </c>
      <c r="AD16" s="189" t="b">
        <f>V16=AC16</f>
        <v>1</v>
      </c>
    </row>
    <row r="17" spans="1:30" ht="12.75" customHeight="1" thickBot="1" x14ac:dyDescent="0.25">
      <c r="A17" s="226">
        <v>46520</v>
      </c>
      <c r="B17" s="266">
        <v>0.30972222222222223</v>
      </c>
      <c r="C17" s="266">
        <v>0.47083333333333338</v>
      </c>
      <c r="D17" s="266">
        <v>0.48402777777777778</v>
      </c>
      <c r="E17" s="266"/>
      <c r="F17" s="266"/>
      <c r="G17" s="266"/>
      <c r="H17" s="266"/>
      <c r="I17" s="266">
        <v>0.62152777777777779</v>
      </c>
      <c r="J17" s="265">
        <f t="shared" si="1"/>
        <v>0</v>
      </c>
      <c r="K17" s="265">
        <f>IF((D17-C17)&lt;=$F$2,0,(D17-C17)-$F$2)</f>
        <v>0</v>
      </c>
      <c r="L17" s="319">
        <f>(I17-B17)-K17-(H17-G17)-J17</f>
        <v>0.31180555555555556</v>
      </c>
      <c r="M17" s="413" t="s">
        <v>45</v>
      </c>
      <c r="N17" s="213"/>
      <c r="O17" s="214"/>
      <c r="P17" s="428">
        <f>MROUND(L17,"0:15")</f>
        <v>0.3125</v>
      </c>
      <c r="Q17" s="84">
        <f>VALUE(MID(TEXT(L17,"hh:mm:ss"),4,2)+Q16)-IF(ABS((MID(TEXT(L17,"hh:mm:ss"),4,2)+Q16)-FLOOR((MID(TEXT(L17,"hh:mm:ss"),4,2)+Q16),15))&gt;ABS((MID(TEXT(L17,"hh:mm:ss"),4,2)+Q16)-CEILING((MID(TEXT(L17,"hh:mm:ss"),4,2)+Q16),15)),CEILING((MID(TEXT(L17,"hh:mm:ss"),4,2)+Q16),15),FLOOR((MID(TEXT(L17,"hh:mm:ss"),4,2)+Q16),15))</f>
        <v>1</v>
      </c>
      <c r="R17" s="84"/>
      <c r="S17" s="85"/>
      <c r="T17" s="432">
        <f>T16-P17</f>
        <v>2.6548611111111096</v>
      </c>
      <c r="U17" s="366"/>
      <c r="V17" s="206">
        <v>0</v>
      </c>
      <c r="W17" s="204">
        <v>45267</v>
      </c>
      <c r="X17" s="682"/>
      <c r="Y17" s="361">
        <f>IF(M17="O",P17 - AA17,"0:00:00")</f>
        <v>0.3125</v>
      </c>
      <c r="Z17" s="152" t="str">
        <f>IF(M17="C",P17,"0:00:00")</f>
        <v>0:00:00</v>
      </c>
      <c r="AA17" s="140" t="str">
        <f>IF(P17="M",Q17-P17,"0:00:00")</f>
        <v>0:00:00</v>
      </c>
      <c r="AB17" s="140">
        <f>SUM(Y17:Z17)</f>
        <v>0.3125</v>
      </c>
      <c r="AC17" s="195">
        <v>0</v>
      </c>
      <c r="AD17" s="196" t="b">
        <f>V17=AC17</f>
        <v>1</v>
      </c>
    </row>
    <row r="18" spans="1:30" ht="13.5" thickBot="1" x14ac:dyDescent="0.25">
      <c r="A18" s="226">
        <v>46521</v>
      </c>
      <c r="B18" s="266">
        <v>0.3125</v>
      </c>
      <c r="C18" s="266">
        <v>0.46388888888888885</v>
      </c>
      <c r="D18" s="266">
        <v>0.4777777777777778</v>
      </c>
      <c r="E18" s="266"/>
      <c r="F18" s="266"/>
      <c r="G18" s="266"/>
      <c r="H18" s="266"/>
      <c r="I18" s="266">
        <v>0.65625</v>
      </c>
      <c r="J18" s="259">
        <v>0</v>
      </c>
      <c r="K18" s="259">
        <f>IF((D18-C18)&lt;=$F$2,0,(D18-C18)-$F$2)</f>
        <v>6.2450045135165055E-17</v>
      </c>
      <c r="L18" s="408">
        <f>(I18-B18)-K18-(H18-G18)-J18</f>
        <v>0.34374999999999994</v>
      </c>
      <c r="M18" s="412" t="s">
        <v>53</v>
      </c>
      <c r="N18" s="211"/>
      <c r="O18" s="212"/>
      <c r="P18" s="428">
        <f>MROUND(L18,"0:15")</f>
        <v>0.34375</v>
      </c>
      <c r="Q18" s="199">
        <f>VALUE(MID(TEXT(L18,"hh:mm:ss"),4,2)+Q17)-IF(ABS((MID(TEXT(L18,"hh:mm:ss"),4,2)+Q17)-FLOOR((MID(TEXT(L18,"hh:mm:ss"),4,2)+Q17),15))&gt;ABS((MID(TEXT(L18,"hh:mm:ss"),4,2)+Q17)-CEILING((MID(TEXT(L18,"hh:mm:ss"),4,2)+Q17),15)),CEILING((MID(TEXT(L18,"hh:mm:ss"),4,2)+Q17),15),FLOOR((MID(TEXT(L18,"hh:mm:ss"),4,2)+Q17),15))</f>
        <v>1</v>
      </c>
      <c r="R18" s="199"/>
      <c r="S18" s="200"/>
      <c r="T18" s="433">
        <f>T17-L18</f>
        <v>2.3111111111111096</v>
      </c>
      <c r="U18" s="358"/>
      <c r="V18" s="207">
        <v>0</v>
      </c>
      <c r="W18" s="204">
        <v>45268</v>
      </c>
      <c r="X18" s="682"/>
      <c r="Y18" s="361" t="str">
        <f>IF(M18="O",P18 - AA18,"0:00:00")</f>
        <v>0:00:00</v>
      </c>
      <c r="Z18" s="152">
        <f>IF(M18="C",P18,"0:00:00")</f>
        <v>0.34375</v>
      </c>
      <c r="AA18" s="143" t="str">
        <f>IF(P18="M",Q18-P18,"0:00:00")</f>
        <v>0:00:00</v>
      </c>
      <c r="AB18" s="159">
        <f>SUM(Y18:Z18)</f>
        <v>0.34375</v>
      </c>
      <c r="AC18" s="108">
        <v>0</v>
      </c>
      <c r="AD18" s="190" t="b">
        <f>V18=AC18</f>
        <v>1</v>
      </c>
    </row>
    <row r="19" spans="1:30" ht="15.75" thickBot="1" x14ac:dyDescent="0.25">
      <c r="A19" s="227" t="s">
        <v>20</v>
      </c>
      <c r="B19" s="254"/>
      <c r="C19" s="254"/>
      <c r="D19" s="254"/>
      <c r="E19" s="254"/>
      <c r="F19" s="254"/>
      <c r="G19" s="254"/>
      <c r="H19" s="254"/>
      <c r="I19" s="254"/>
      <c r="J19" s="246"/>
      <c r="K19" s="247"/>
      <c r="L19" s="391">
        <f>SUM(L14:L18)</f>
        <v>1.677083333333333</v>
      </c>
      <c r="M19" s="396"/>
      <c r="N19" s="122"/>
      <c r="O19" s="123"/>
      <c r="P19" s="706">
        <f>SUM(P14:P18)</f>
        <v>1.6770833333333333</v>
      </c>
      <c r="Q19" s="707"/>
      <c r="R19" s="707"/>
      <c r="S19" s="707"/>
      <c r="T19" s="708"/>
      <c r="U19" s="384"/>
      <c r="V19" s="173"/>
      <c r="W19" s="75" t="s">
        <v>20</v>
      </c>
      <c r="X19" s="145"/>
      <c r="Y19" s="346"/>
      <c r="Z19" s="347"/>
      <c r="AA19" s="162"/>
      <c r="AB19" s="163"/>
      <c r="AC19" s="146"/>
      <c r="AD19" s="147"/>
    </row>
    <row r="20" spans="1:30" ht="15.75" thickBot="1" x14ac:dyDescent="0.25">
      <c r="A20" s="222"/>
      <c r="B20" s="257"/>
      <c r="C20" s="257"/>
      <c r="D20" s="257"/>
      <c r="E20" s="257"/>
      <c r="F20" s="248"/>
      <c r="G20" s="257"/>
      <c r="H20" s="257"/>
      <c r="I20" s="257"/>
      <c r="J20" s="248"/>
      <c r="K20" s="248"/>
      <c r="L20" s="392"/>
      <c r="M20" s="398"/>
      <c r="N20" s="130"/>
      <c r="O20" s="131"/>
      <c r="P20" s="434"/>
      <c r="Q20" s="341">
        <f>Q18</f>
        <v>1</v>
      </c>
      <c r="R20" s="341"/>
      <c r="S20" s="342"/>
      <c r="T20" s="435"/>
      <c r="U20" s="385"/>
      <c r="V20" s="35"/>
      <c r="W20" s="79"/>
      <c r="X20" s="148"/>
      <c r="Y20" s="160"/>
      <c r="Z20" s="161"/>
      <c r="AA20" s="162"/>
      <c r="AB20" s="163"/>
      <c r="AC20" s="146"/>
      <c r="AD20" s="149"/>
    </row>
    <row r="21" spans="1:30" ht="12.75" customHeight="1" thickBot="1" x14ac:dyDescent="0.25">
      <c r="A21" s="226">
        <v>46524</v>
      </c>
      <c r="B21" s="266">
        <v>0.3</v>
      </c>
      <c r="C21" s="266">
        <v>0.47430555555555554</v>
      </c>
      <c r="D21" s="266">
        <v>0.48194444444444445</v>
      </c>
      <c r="E21" s="266"/>
      <c r="F21" s="266"/>
      <c r="G21" s="266"/>
      <c r="H21" s="266"/>
      <c r="I21" s="266">
        <v>0.62222222222222223</v>
      </c>
      <c r="J21" s="265">
        <f>F21-E21</f>
        <v>0</v>
      </c>
      <c r="K21" s="260">
        <f>IF((D21-C21)&lt;=$F$2,0,(D21-C21)-$F$2)</f>
        <v>0</v>
      </c>
      <c r="L21" s="409">
        <f>(I21-B21)-K21-(H21-G21)-J21</f>
        <v>0.32222222222222224</v>
      </c>
      <c r="M21" s="413" t="s">
        <v>45</v>
      </c>
      <c r="N21" s="211"/>
      <c r="O21" s="212"/>
      <c r="P21" s="428">
        <f>MROUND(L21,"0:15")</f>
        <v>0.32291666666666663</v>
      </c>
      <c r="Q21" s="98">
        <f>VALUE(MID(TEXT(L21,"hh:mm:ss"),4,2)+Q20)-IF(ABS((MID(TEXT(L21,"hh:mm:ss"),4,2)+Q20)-FLOOR((MID(TEXT(L21,"hh:mm:ss"),4,2)+Q20),15))&gt;ABS((MID(TEXT(L21,"hh:mm:ss"),4,2)+Q20)-CEILING((MID(TEXT(L21,"hh:mm:ss"),4,2)+Q20),15)),CEILING((MID(TEXT(L21,"hh:mm:ss"),4,2)+Q20),15),FLOOR((MID(TEXT(L21,"hh:mm:ss"),4,2)+Q20),15))</f>
        <v>0</v>
      </c>
      <c r="R21" s="98"/>
      <c r="S21" s="99"/>
      <c r="T21" s="436">
        <f>T18-L21</f>
        <v>1.9888888888888874</v>
      </c>
      <c r="U21" s="100"/>
      <c r="V21" s="205">
        <v>0.36458333333333331</v>
      </c>
      <c r="W21" s="192">
        <v>45271</v>
      </c>
      <c r="X21" s="682"/>
      <c r="Y21" s="150">
        <f>IF(M21="O",P21 - AA21,"0:00:00")</f>
        <v>0.32291666666666663</v>
      </c>
      <c r="Z21" s="138" t="str">
        <f>IF(M21="C",P21,"0:00:00")</f>
        <v>0:00:00</v>
      </c>
      <c r="AA21" s="138" t="str">
        <f>IF(P21="M",Q21-P21,"0:00:00")</f>
        <v>0:00:00</v>
      </c>
      <c r="AB21" s="157">
        <f>SUM(Y21:Z21)</f>
        <v>0.32291666666666663</v>
      </c>
      <c r="AC21" s="106">
        <v>0.36458333333333331</v>
      </c>
      <c r="AD21" s="188" t="b">
        <f>V21=AC21</f>
        <v>1</v>
      </c>
    </row>
    <row r="22" spans="1:30" ht="12.75" customHeight="1" thickBot="1" x14ac:dyDescent="0.25">
      <c r="A22" s="226">
        <v>46525</v>
      </c>
      <c r="B22" s="266">
        <v>0.33124999999999999</v>
      </c>
      <c r="C22" s="266">
        <v>0.51527777777777783</v>
      </c>
      <c r="D22" s="266">
        <v>0.52916666666666667</v>
      </c>
      <c r="E22" s="266">
        <v>0.63541666666666663</v>
      </c>
      <c r="F22" s="266">
        <v>0.65625</v>
      </c>
      <c r="G22" s="266"/>
      <c r="H22" s="266"/>
      <c r="I22" s="266">
        <v>0.7270833333333333</v>
      </c>
      <c r="J22" s="265">
        <f>IF((F22-E22)&lt;$F$1,$F$1,F22-E22)</f>
        <v>2.083333333333337E-2</v>
      </c>
      <c r="K22" s="260">
        <f>IF((D22-C22)&lt;=$F$2,0,(D22-C22)-$F$2)</f>
        <v>0</v>
      </c>
      <c r="L22" s="409">
        <f>(I22-B22)-K22-(H22-G22)-J22</f>
        <v>0.37499999999999994</v>
      </c>
      <c r="M22" s="412" t="s">
        <v>53</v>
      </c>
      <c r="N22" s="211"/>
      <c r="O22" s="212"/>
      <c r="P22" s="428">
        <f>MROUND(L22,"0:15")</f>
        <v>0.375</v>
      </c>
      <c r="Q22" s="95">
        <f>VALUE(MID(TEXT(L22,"hh:mm:ss"),4,2)+Q21)-IF(ABS((MID(TEXT(L22,"hh:mm:ss"),4,2)+Q21)-FLOOR((MID(TEXT(L22,"hh:mm:ss"),4,2)+Q21),15))&gt;ABS((MID(TEXT(L22,"hh:mm:ss"),4,2)+Q21)-CEILING((MID(TEXT(L22,"hh:mm:ss"),4,2)+Q21),15)),CEILING((MID(TEXT(L22,"hh:mm:ss"),4,2)+Q21),15),FLOOR((MID(TEXT(L22,"hh:mm:ss"),4,2)+Q21),15))</f>
        <v>0</v>
      </c>
      <c r="R22" s="95"/>
      <c r="S22" s="96"/>
      <c r="T22" s="422">
        <f>T21-L22</f>
        <v>1.6138888888888874</v>
      </c>
      <c r="U22" s="97"/>
      <c r="V22" s="206">
        <v>0.36458333333333331</v>
      </c>
      <c r="W22" s="192">
        <v>45272</v>
      </c>
      <c r="X22" s="682"/>
      <c r="Y22" s="343" t="str">
        <f>IF(M22="O",P22 - AA22,"0:00:00")</f>
        <v>0:00:00</v>
      </c>
      <c r="Z22" s="344">
        <f>IF(M22="C",P22,"0:00:00")</f>
        <v>0.375</v>
      </c>
      <c r="AA22" s="140" t="str">
        <f>IF(P22="M",Q22-P22,"0:00:00")</f>
        <v>0:00:00</v>
      </c>
      <c r="AB22" s="158">
        <f>SUM(Y22:Z22)</f>
        <v>0.375</v>
      </c>
      <c r="AC22" s="107">
        <v>0.36458333333333331</v>
      </c>
      <c r="AD22" s="189" t="b">
        <f>V22=AC22</f>
        <v>1</v>
      </c>
    </row>
    <row r="23" spans="1:30" ht="13.5" thickBot="1" x14ac:dyDescent="0.25">
      <c r="A23" s="226">
        <v>46526</v>
      </c>
      <c r="B23" s="266">
        <v>0.30416666666666664</v>
      </c>
      <c r="C23" s="266">
        <v>0.51527777777777783</v>
      </c>
      <c r="D23" s="266">
        <v>0.52916666666666667</v>
      </c>
      <c r="E23" s="266"/>
      <c r="F23" s="266"/>
      <c r="G23" s="266"/>
      <c r="H23" s="266"/>
      <c r="I23" s="266">
        <v>0.6381944444444444</v>
      </c>
      <c r="J23" s="265">
        <f t="shared" ref="J23:J24" si="2">F23-E23</f>
        <v>0</v>
      </c>
      <c r="K23" s="260">
        <f>IF((D23-C23)&lt;=$F$2,0,(D23-C23)-$F$2)</f>
        <v>0</v>
      </c>
      <c r="L23" s="409">
        <f>(I23-B23)-K23-(H23-G23)-J23</f>
        <v>0.33402777777777776</v>
      </c>
      <c r="M23" s="413" t="s">
        <v>45</v>
      </c>
      <c r="N23" s="211"/>
      <c r="O23" s="212"/>
      <c r="P23" s="428">
        <f>MROUND(L23,"0:15")</f>
        <v>0.33333333333333331</v>
      </c>
      <c r="Q23" s="95">
        <f>VALUE(MID(TEXT(L23,"hh:mm:ss"),4,2)+Q22)-IF(ABS((MID(TEXT(L23,"hh:mm:ss"),4,2)+Q22)-FLOOR((MID(TEXT(L23,"hh:mm:ss"),4,2)+Q22),15))&gt;ABS((MID(TEXT(L23,"hh:mm:ss"),4,2)+Q22)-CEILING((MID(TEXT(L23,"hh:mm:ss"),4,2)+Q22),15)),CEILING((MID(TEXT(L23,"hh:mm:ss"),4,2)+Q22),15),FLOOR((MID(TEXT(L23,"hh:mm:ss"),4,2)+Q22),15))</f>
        <v>1</v>
      </c>
      <c r="R23" s="95"/>
      <c r="S23" s="96"/>
      <c r="T23" s="422">
        <f>T22-L23</f>
        <v>1.2798611111111096</v>
      </c>
      <c r="U23" s="97"/>
      <c r="V23" s="206">
        <v>0.45833333333333331</v>
      </c>
      <c r="W23" s="192">
        <v>45273</v>
      </c>
      <c r="X23" s="682"/>
      <c r="Y23" s="343">
        <f>IF(M23="O",P23 - AA23,"0:00:00")</f>
        <v>0.33333333333333331</v>
      </c>
      <c r="Z23" s="344" t="str">
        <f>IF(M23="C",P23,"0:00:00")</f>
        <v>0:00:00</v>
      </c>
      <c r="AA23" s="140" t="str">
        <f>IF(P23="M",Q23-P23,"0:00:00")</f>
        <v>0:00:00</v>
      </c>
      <c r="AB23" s="158">
        <f>SUM(Y23:Z23)</f>
        <v>0.33333333333333331</v>
      </c>
      <c r="AC23" s="107">
        <v>0.45833333333333331</v>
      </c>
      <c r="AD23" s="189" t="b">
        <f>V23=AC23</f>
        <v>1</v>
      </c>
    </row>
    <row r="24" spans="1:30" ht="13.5" thickBot="1" x14ac:dyDescent="0.25">
      <c r="A24" s="226">
        <v>46527</v>
      </c>
      <c r="B24" s="266">
        <v>0.3</v>
      </c>
      <c r="C24" s="266">
        <v>0.54097222222222219</v>
      </c>
      <c r="D24" s="266">
        <v>0.55486111111111114</v>
      </c>
      <c r="E24" s="266"/>
      <c r="F24" s="266"/>
      <c r="G24" s="266"/>
      <c r="H24" s="266"/>
      <c r="I24" s="266">
        <v>0.61249999999999993</v>
      </c>
      <c r="J24" s="609">
        <f t="shared" si="2"/>
        <v>0</v>
      </c>
      <c r="K24" s="624">
        <f>IF((D24-C24)&lt;=$F$2,0,(D24-C24)-$F$2)</f>
        <v>6.2450045135165055E-17</v>
      </c>
      <c r="L24" s="625">
        <f>(I24-B24)-K24-(H24-G24)-J24</f>
        <v>0.31249999999999989</v>
      </c>
      <c r="M24" s="414" t="s">
        <v>53</v>
      </c>
      <c r="N24" s="213"/>
      <c r="O24" s="214"/>
      <c r="P24" s="428">
        <f>MROUND(L24,"0:15")</f>
        <v>0.3125</v>
      </c>
      <c r="Q24" s="249">
        <f>VALUE(MID(TEXT(L24,"hh:mm:ss"),4,2)+Q23)-IF(ABS((MID(TEXT(L24,"hh:mm:ss"),4,2)+Q23)-FLOOR((MID(TEXT(L24,"hh:mm:ss"),4,2)+Q23),15))&gt;ABS((MID(TEXT(L24,"hh:mm:ss"),4,2)+Q23)-CEILING((MID(TEXT(L24,"hh:mm:ss"),4,2)+Q23),15)),CEILING((MID(TEXT(L24,"hh:mm:ss"),4,2)+Q23),15),FLOOR((MID(TEXT(L24,"hh:mm:ss"),4,2)+Q23),15))</f>
        <v>1</v>
      </c>
      <c r="R24" s="249"/>
      <c r="S24" s="250"/>
      <c r="T24" s="437">
        <f>T23-L24</f>
        <v>0.96736111111110967</v>
      </c>
      <c r="U24" s="372"/>
      <c r="V24" s="182">
        <v>0.32291666666666669</v>
      </c>
      <c r="W24" s="192">
        <v>45274</v>
      </c>
      <c r="X24" s="682"/>
      <c r="Y24" s="343" t="str">
        <f>IF(M24="O",P24 - AA24,"0:00:00")</f>
        <v>0:00:00</v>
      </c>
      <c r="Z24" s="344">
        <f>IF(M24="C",P24,"0:00:00")</f>
        <v>0.3125</v>
      </c>
      <c r="AA24" s="140" t="str">
        <f>IF(P24="M",Q24-P24,"0:00:00")</f>
        <v>0:00:00</v>
      </c>
      <c r="AB24" s="158">
        <f>SUM(Y24:Z24)</f>
        <v>0.3125</v>
      </c>
      <c r="AC24" s="107">
        <v>0.32291666666666669</v>
      </c>
      <c r="AD24" s="189" t="b">
        <f>V24=AC24</f>
        <v>1</v>
      </c>
    </row>
    <row r="25" spans="1:30" ht="13.5" customHeight="1" thickBot="1" x14ac:dyDescent="0.25">
      <c r="A25" s="226">
        <v>46528</v>
      </c>
      <c r="B25" s="266">
        <v>0.31041666666666667</v>
      </c>
      <c r="C25" s="266"/>
      <c r="D25" s="266"/>
      <c r="E25" s="266"/>
      <c r="F25" s="266"/>
      <c r="G25" s="266"/>
      <c r="H25" s="266"/>
      <c r="I25" s="266">
        <v>0.6333333333333333</v>
      </c>
      <c r="J25" s="259">
        <v>0</v>
      </c>
      <c r="K25" s="260">
        <f>IF((D25-C25)&lt;=$F$2,0,(D25-C25)-$F$2)</f>
        <v>0</v>
      </c>
      <c r="L25" s="409">
        <f>(I25-B25)-K25-(H25-G25)-J25</f>
        <v>0.32291666666666663</v>
      </c>
      <c r="M25" s="416" t="s">
        <v>53</v>
      </c>
      <c r="N25" s="211"/>
      <c r="O25" s="212"/>
      <c r="P25" s="428">
        <f>MROUND(L25,"0:15")</f>
        <v>0.32291666666666663</v>
      </c>
      <c r="Q25" s="251">
        <f>VALUE(MID(TEXT(L25,"hh:mm:ss"),4,2)+Q24)-IF(ABS((MID(TEXT(L25,"hh:mm:ss"),4,2)+Q24)-FLOOR((MID(TEXT(L25,"hh:mm:ss"),4,2)+Q24),15))&gt;ABS((MID(TEXT(L25,"hh:mm:ss"),4,2)+Q24)-CEILING((MID(TEXT(L25,"hh:mm:ss"),4,2)+Q24),15)),CEILING((MID(TEXT(L25,"hh:mm:ss"),4,2)+Q24),15),FLOOR((MID(TEXT(L25,"hh:mm:ss"),4,2)+Q24),15))</f>
        <v>1</v>
      </c>
      <c r="R25" s="251"/>
      <c r="S25" s="252"/>
      <c r="T25" s="438">
        <f>T24-L25</f>
        <v>0.64444444444444304</v>
      </c>
      <c r="U25" s="373"/>
      <c r="V25" s="182">
        <v>0.36458333333333331</v>
      </c>
      <c r="W25" s="192">
        <v>45275</v>
      </c>
      <c r="X25" s="682"/>
      <c r="Y25" s="364" t="str">
        <f>IF(M25="O",P25 - AA25,"0:00:00")</f>
        <v>0:00:00</v>
      </c>
      <c r="Z25" s="365">
        <f>IF(M25="C",P25,"0:00:00")</f>
        <v>0.32291666666666663</v>
      </c>
      <c r="AA25" s="143" t="str">
        <f>IF(P25="M",Q25-P25,"0:00:00")</f>
        <v>0:00:00</v>
      </c>
      <c r="AB25" s="159">
        <f>SUM(Y25:Z25)</f>
        <v>0.32291666666666663</v>
      </c>
      <c r="AC25" s="108">
        <v>0.36458333333333331</v>
      </c>
      <c r="AD25" s="190" t="b">
        <f>V25=AC25</f>
        <v>1</v>
      </c>
    </row>
    <row r="26" spans="1:30" ht="15.75" thickBot="1" x14ac:dyDescent="0.25">
      <c r="A26" s="227" t="s">
        <v>21</v>
      </c>
      <c r="B26" s="254"/>
      <c r="C26" s="254"/>
      <c r="D26" s="254"/>
      <c r="E26" s="254"/>
      <c r="F26" s="254"/>
      <c r="G26" s="254"/>
      <c r="H26" s="254"/>
      <c r="I26" s="254"/>
      <c r="J26" s="246"/>
      <c r="K26" s="247"/>
      <c r="L26" s="391">
        <f>SUM(L21:L25)</f>
        <v>1.6666666666666665</v>
      </c>
      <c r="M26" s="396"/>
      <c r="N26" s="128"/>
      <c r="O26" s="129"/>
      <c r="P26" s="706">
        <f>SUM(P21:P25)</f>
        <v>1.6666666666666665</v>
      </c>
      <c r="Q26" s="707"/>
      <c r="R26" s="707"/>
      <c r="S26" s="707"/>
      <c r="T26" s="708"/>
      <c r="U26" s="386"/>
      <c r="V26" s="172"/>
      <c r="W26" s="80" t="s">
        <v>21</v>
      </c>
      <c r="X26" s="145"/>
      <c r="Y26" s="346"/>
      <c r="Z26" s="347"/>
      <c r="AA26" s="162"/>
      <c r="AB26" s="163"/>
      <c r="AC26" s="146"/>
      <c r="AD26" s="147"/>
    </row>
    <row r="27" spans="1:30" ht="15.75" thickBot="1" x14ac:dyDescent="0.25">
      <c r="A27" s="229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393"/>
      <c r="M27" s="417"/>
      <c r="N27" s="130"/>
      <c r="O27" s="131"/>
      <c r="P27" s="426"/>
      <c r="Q27" s="338">
        <f>Q25</f>
        <v>1</v>
      </c>
      <c r="R27" s="338"/>
      <c r="S27" s="339"/>
      <c r="T27" s="427"/>
      <c r="U27" s="374"/>
      <c r="V27" s="35"/>
      <c r="W27" s="81"/>
      <c r="X27" s="148"/>
      <c r="Y27" s="160"/>
      <c r="Z27" s="161"/>
      <c r="AA27" s="162"/>
      <c r="AB27" s="163"/>
      <c r="AC27" s="146"/>
      <c r="AD27" s="149"/>
    </row>
    <row r="28" spans="1:30" ht="15.75" customHeight="1" thickBot="1" x14ac:dyDescent="0.25">
      <c r="A28" s="605">
        <v>46531</v>
      </c>
      <c r="B28" s="608">
        <v>0.3</v>
      </c>
      <c r="C28" s="608">
        <v>0.47430555555555554</v>
      </c>
      <c r="D28" s="608">
        <v>0.48194444444444445</v>
      </c>
      <c r="E28" s="608"/>
      <c r="F28" s="608"/>
      <c r="G28" s="608"/>
      <c r="H28" s="608"/>
      <c r="I28" s="608">
        <v>0.62291666666666667</v>
      </c>
      <c r="J28" s="606">
        <v>0</v>
      </c>
      <c r="K28" s="606">
        <f>IF((D28-C28)&lt;=$F$2,0,(D28-C28)-$F$2)</f>
        <v>0</v>
      </c>
      <c r="L28" s="607">
        <f>(I28-B28)-K28-(H28-G28)-J28</f>
        <v>0.32291666666666669</v>
      </c>
      <c r="M28" s="413" t="s">
        <v>45</v>
      </c>
      <c r="N28" s="211"/>
      <c r="O28" s="212"/>
      <c r="P28" s="428">
        <f>MROUND(L28,"0:15")</f>
        <v>0.32291666666666663</v>
      </c>
      <c r="Q28" s="98">
        <f>VALUE(MID(TEXT(L28,"hh:mm:ss"),4,2)+Q27)-IF(ABS((MID(TEXT(L28,"hh:mm:ss"),4,2)+Q27)-FLOOR((MID(TEXT(L28,"hh:mm:ss"),4,2)+Q27),15))&gt;ABS((MID(TEXT(L28,"hh:mm:ss"),4,2)+Q27)-CEILING((MID(TEXT(L28,"hh:mm:ss"),4,2)+Q27),15)),CEILING((MID(TEXT(L28,"hh:mm:ss"),4,2)+Q27),15),FLOOR((MID(TEXT(L28,"hh:mm:ss"),4,2)+Q27),15))</f>
        <v>1</v>
      </c>
      <c r="R28" s="98"/>
      <c r="S28" s="99"/>
      <c r="T28" s="436">
        <f>T25-L28</f>
        <v>0.32152777777777636</v>
      </c>
      <c r="U28" s="100"/>
      <c r="V28" s="205">
        <v>0.30208333333333331</v>
      </c>
      <c r="W28" s="192">
        <v>45278</v>
      </c>
      <c r="X28" s="682"/>
      <c r="Y28" s="345">
        <f>IF(M28="O",P28 - AA28,"0:00:00")</f>
        <v>0.32291666666666663</v>
      </c>
      <c r="Z28" s="349" t="str">
        <f>IF(M28="C",P28,"0:00:00")</f>
        <v>0:00:00</v>
      </c>
      <c r="AA28" s="138" t="str">
        <f>IF(P28="M",Q28-P28,"0:00:00")</f>
        <v>0:00:00</v>
      </c>
      <c r="AB28" s="157">
        <f>SUM(Y28:Z28)</f>
        <v>0.32291666666666663</v>
      </c>
      <c r="AC28" s="106">
        <v>0.30208333333333331</v>
      </c>
      <c r="AD28" s="208" t="b">
        <f>V28=AC28</f>
        <v>1</v>
      </c>
    </row>
    <row r="29" spans="1:30" ht="16.5" customHeight="1" thickBot="1" x14ac:dyDescent="0.25">
      <c r="A29" s="605">
        <v>46532</v>
      </c>
      <c r="B29" s="608">
        <v>0.33124999999999999</v>
      </c>
      <c r="C29" s="608">
        <v>0.51527777777777783</v>
      </c>
      <c r="D29" s="608">
        <v>0.52916666666666667</v>
      </c>
      <c r="E29" s="608">
        <v>0.63541666666666663</v>
      </c>
      <c r="F29" s="608">
        <v>0.65625</v>
      </c>
      <c r="G29" s="608"/>
      <c r="H29" s="608"/>
      <c r="I29" s="608">
        <v>0.7270833333333333</v>
      </c>
      <c r="J29" s="609">
        <f t="shared" ref="J29" si="3">IF((F29-E29)&lt;$F$1,$F$1,F29-E29)</f>
        <v>2.083333333333337E-2</v>
      </c>
      <c r="K29" s="606">
        <f>IF((D29-C29)&lt;=$F$2,0,(D29-C29)-$F$2)</f>
        <v>0</v>
      </c>
      <c r="L29" s="607">
        <f>(I29-B29)-K29-(H29-G29)-J29</f>
        <v>0.37499999999999994</v>
      </c>
      <c r="M29" s="412" t="s">
        <v>53</v>
      </c>
      <c r="N29" s="211"/>
      <c r="O29" s="212"/>
      <c r="P29" s="428">
        <f>MROUND(L29,"0:15")</f>
        <v>0.375</v>
      </c>
      <c r="Q29" s="95">
        <f>VALUE(MID(TEXT(L29,"hh:mm:ss"),4,2)+Q28)-IF(ABS((MID(TEXT(L29,"hh:mm:ss"),4,2)+Q28)-FLOOR((MID(TEXT(L29,"hh:mm:ss"),4,2)+Q28),15))&gt;ABS((MID(TEXT(L29,"hh:mm:ss"),4,2)+Q28)-CEILING((MID(TEXT(L29,"hh:mm:ss"),4,2)+Q28),15)),CEILING((MID(TEXT(L29,"hh:mm:ss"),4,2)+Q28),15),FLOOR((MID(TEXT(L29,"hh:mm:ss"),4,2)+Q28),15))</f>
        <v>1</v>
      </c>
      <c r="R29" s="95"/>
      <c r="S29" s="96"/>
      <c r="T29" s="422">
        <f>T28-L29</f>
        <v>-5.3472222222223587E-2</v>
      </c>
      <c r="U29" s="97"/>
      <c r="V29" s="206">
        <v>0</v>
      </c>
      <c r="W29" s="192">
        <v>45279</v>
      </c>
      <c r="X29" s="682"/>
      <c r="Y29" s="361" t="str">
        <f>IF(M29="O",P29 - AA29,"0:00:00")</f>
        <v>0:00:00</v>
      </c>
      <c r="Z29" s="152">
        <f>IF(M29="C",P29,"0:00:00")</f>
        <v>0.375</v>
      </c>
      <c r="AA29" s="140" t="str">
        <f>IF(P29="M",Q29-P29,"0:00:00")</f>
        <v>0:00:00</v>
      </c>
      <c r="AB29" s="158">
        <f>SUM(Y29:Z29)</f>
        <v>0.375</v>
      </c>
      <c r="AC29" s="107">
        <v>0.21875</v>
      </c>
      <c r="AD29" s="209" t="b">
        <f>V29=AC29</f>
        <v>0</v>
      </c>
    </row>
    <row r="30" spans="1:30" ht="12.75" customHeight="1" thickBot="1" x14ac:dyDescent="0.25">
      <c r="A30" s="630">
        <v>46533</v>
      </c>
      <c r="B30" s="631"/>
      <c r="C30" s="631"/>
      <c r="D30" s="631"/>
      <c r="E30" s="631"/>
      <c r="F30" s="631"/>
      <c r="G30" s="631"/>
      <c r="H30" s="631"/>
      <c r="I30" s="631"/>
      <c r="J30" s="635"/>
      <c r="K30" s="635"/>
      <c r="L30" s="637"/>
      <c r="M30" s="412" t="s">
        <v>45</v>
      </c>
      <c r="N30" s="211"/>
      <c r="O30" s="212"/>
      <c r="P30" s="428">
        <f>MROUND(L30,"0:15")</f>
        <v>0</v>
      </c>
      <c r="Q30" s="95">
        <f>VALUE(MID(TEXT(L30,"hh:mm:ss"),4,2)+Q29)-IF(ABS((MID(TEXT(L30,"hh:mm:ss"),4,2)+Q29)-FLOOR((MID(TEXT(L30,"hh:mm:ss"),4,2)+Q29),15))&gt;ABS((MID(TEXT(L30,"hh:mm:ss"),4,2)+Q29)-CEILING((MID(TEXT(L30,"hh:mm:ss"),4,2)+Q29),15)),CEILING((MID(TEXT(L30,"hh:mm:ss"),4,2)+Q29),15),FLOOR((MID(TEXT(L30,"hh:mm:ss"),4,2)+Q29),15))</f>
        <v>1</v>
      </c>
      <c r="R30" s="95"/>
      <c r="S30" s="96"/>
      <c r="T30" s="422">
        <f>T29-L30</f>
        <v>-5.3472222222223587E-2</v>
      </c>
      <c r="U30" s="97"/>
      <c r="V30" s="206">
        <v>0.35416666666666669</v>
      </c>
      <c r="W30" s="192">
        <v>45280</v>
      </c>
      <c r="X30" s="682"/>
      <c r="Y30" s="361">
        <f>IF(M30="O",P30 - AA30,"0:00:00")</f>
        <v>0</v>
      </c>
      <c r="Z30" s="152" t="str">
        <f>IF(M30="C",P30,"0:00:00")</f>
        <v>0:00:00</v>
      </c>
      <c r="AA30" s="140" t="str">
        <f>IF(P30="M",Q30-P30,"0:00:00")</f>
        <v>0:00:00</v>
      </c>
      <c r="AB30" s="158">
        <f>SUM(Y30:Z30)</f>
        <v>0</v>
      </c>
      <c r="AC30" s="107">
        <v>0.30208333333333331</v>
      </c>
      <c r="AD30" s="209" t="b">
        <f>V30=AC30</f>
        <v>0</v>
      </c>
    </row>
    <row r="31" spans="1:30" ht="12.75" customHeight="1" thickBot="1" x14ac:dyDescent="0.25">
      <c r="A31" s="630">
        <v>46534</v>
      </c>
      <c r="B31" s="631"/>
      <c r="C31" s="631"/>
      <c r="D31" s="631"/>
      <c r="E31" s="631"/>
      <c r="F31" s="631"/>
      <c r="G31" s="631"/>
      <c r="H31" s="631"/>
      <c r="I31" s="631"/>
      <c r="J31" s="635"/>
      <c r="K31" s="635"/>
      <c r="L31" s="637"/>
      <c r="M31" s="413" t="s">
        <v>45</v>
      </c>
      <c r="N31" s="213"/>
      <c r="O31" s="214"/>
      <c r="P31" s="428">
        <f>MROUND(L31,"0:15")</f>
        <v>0</v>
      </c>
      <c r="Q31" s="95">
        <f>VALUE(MID(TEXT(L31,"hh:mm:ss"),4,2)+Q30)-IF(ABS((MID(TEXT(L31,"hh:mm:ss"),4,2)+Q30)-FLOOR((MID(TEXT(L31,"hh:mm:ss"),4,2)+Q30),15))&gt;ABS((MID(TEXT(L31,"hh:mm:ss"),4,2)+Q30)-CEILING((MID(TEXT(L31,"hh:mm:ss"),4,2)+Q30),15)),CEILING((MID(TEXT(L31,"hh:mm:ss"),4,2)+Q30),15),FLOOR((MID(TEXT(L31,"hh:mm:ss"),4,2)+Q30),15))</f>
        <v>1</v>
      </c>
      <c r="R31" s="95"/>
      <c r="S31" s="96"/>
      <c r="T31" s="422">
        <f>T30-L31</f>
        <v>-5.3472222222223587E-2</v>
      </c>
      <c r="U31" s="97"/>
      <c r="V31" s="206">
        <v>0.41666666666666669</v>
      </c>
      <c r="W31" s="192">
        <v>45281</v>
      </c>
      <c r="X31" s="682"/>
      <c r="Y31" s="361">
        <f>IF(M31="O",P31 - AA31,"0:00:00")</f>
        <v>0</v>
      </c>
      <c r="Z31" s="152" t="str">
        <f>IF(M31="C",P31,"0:00:00")</f>
        <v>0:00:00</v>
      </c>
      <c r="AA31" s="140" t="str">
        <f>IF(P31="M",Q31-P31,"0:00:00")</f>
        <v>0:00:00</v>
      </c>
      <c r="AB31" s="158">
        <f>SUM(Y31:Z31)</f>
        <v>0</v>
      </c>
      <c r="AC31" s="107">
        <v>0.30208333333333331</v>
      </c>
      <c r="AD31" s="209" t="b">
        <f>V31=AC31</f>
        <v>0</v>
      </c>
    </row>
    <row r="32" spans="1:30" ht="13.5" customHeight="1" thickBot="1" x14ac:dyDescent="0.25">
      <c r="A32" s="630">
        <v>46535</v>
      </c>
      <c r="B32" s="631"/>
      <c r="C32" s="631"/>
      <c r="D32" s="631"/>
      <c r="E32" s="631"/>
      <c r="F32" s="631"/>
      <c r="G32" s="631"/>
      <c r="H32" s="631"/>
      <c r="I32" s="631"/>
      <c r="J32" s="635"/>
      <c r="K32" s="635"/>
      <c r="L32" s="637"/>
      <c r="M32" s="414" t="s">
        <v>53</v>
      </c>
      <c r="N32" s="211"/>
      <c r="O32" s="212"/>
      <c r="P32" s="428">
        <f>MROUND(L32,"0:15")</f>
        <v>0</v>
      </c>
      <c r="Q32" s="95">
        <f>VALUE(MID(TEXT(L32,"hh:mm:ss"),4,2)+Q31)-IF(ABS((MID(TEXT(L32,"hh:mm:ss"),4,2)+Q31)-FLOOR((MID(TEXT(L32,"hh:mm:ss"),4,2)+Q31),15))&gt;ABS((MID(TEXT(L32,"hh:mm:ss"),4,2)+Q31)-CEILING((MID(TEXT(L32,"hh:mm:ss"),4,2)+Q31),15)),CEILING((MID(TEXT(L32,"hh:mm:ss"),4,2)+Q31),15),FLOOR((MID(TEXT(L32,"hh:mm:ss"),4,2)+Q31),15))</f>
        <v>1</v>
      </c>
      <c r="R32" s="95"/>
      <c r="S32" s="96"/>
      <c r="T32" s="422">
        <f>T31-L32</f>
        <v>-5.3472222222223587E-2</v>
      </c>
      <c r="U32" s="111"/>
      <c r="V32" s="78">
        <v>0.35416666666666669</v>
      </c>
      <c r="W32" s="192">
        <v>45282</v>
      </c>
      <c r="X32" s="682"/>
      <c r="Y32" s="361" t="str">
        <f>IF(M32="O",P32 - AA32,"0:00:00")</f>
        <v>0:00:00</v>
      </c>
      <c r="Z32" s="152">
        <f>IF(M32="C",P32,"0:00:00")</f>
        <v>0</v>
      </c>
      <c r="AA32" s="143" t="str">
        <f>IF(P32="M",Q32-P32,"0:00:00")</f>
        <v>0:00:00</v>
      </c>
      <c r="AB32" s="159">
        <f>SUM(Y32:Z32)</f>
        <v>0</v>
      </c>
      <c r="AC32" s="108">
        <v>0.30208333333333331</v>
      </c>
      <c r="AD32" s="210" t="b">
        <f>V32=AC32</f>
        <v>0</v>
      </c>
    </row>
    <row r="33" spans="1:30" ht="15.75" thickBot="1" x14ac:dyDescent="0.25">
      <c r="A33" s="227" t="s">
        <v>22</v>
      </c>
      <c r="B33" s="258"/>
      <c r="C33" s="258"/>
      <c r="D33" s="258"/>
      <c r="E33" s="258"/>
      <c r="F33" s="258"/>
      <c r="G33" s="258"/>
      <c r="H33" s="258"/>
      <c r="I33" s="258"/>
      <c r="J33" s="247"/>
      <c r="K33" s="247"/>
      <c r="L33" s="391">
        <f>SUM(L28:L32)</f>
        <v>0.69791666666666663</v>
      </c>
      <c r="M33" s="396"/>
      <c r="N33" s="128"/>
      <c r="O33" s="129"/>
      <c r="P33" s="706">
        <f>SUM(P28:P32)</f>
        <v>0.69791666666666663</v>
      </c>
      <c r="Q33" s="707"/>
      <c r="R33" s="707"/>
      <c r="S33" s="707"/>
      <c r="T33" s="708"/>
      <c r="U33" s="386"/>
      <c r="V33" s="172"/>
      <c r="W33" s="75" t="s">
        <v>22</v>
      </c>
      <c r="X33" s="145"/>
      <c r="Y33" s="346"/>
      <c r="Z33" s="347"/>
      <c r="AA33" s="162"/>
      <c r="AB33" s="163"/>
      <c r="AC33" s="146"/>
      <c r="AD33" s="147"/>
    </row>
    <row r="34" spans="1:30" ht="15.75" thickBot="1" x14ac:dyDescent="0.25">
      <c r="A34" s="222"/>
      <c r="B34" s="257"/>
      <c r="C34" s="257"/>
      <c r="D34" s="257"/>
      <c r="E34" s="257"/>
      <c r="F34" s="257"/>
      <c r="G34" s="257"/>
      <c r="H34" s="257"/>
      <c r="I34" s="257"/>
      <c r="J34" s="248"/>
      <c r="K34" s="248"/>
      <c r="L34" s="392"/>
      <c r="M34" s="418"/>
      <c r="N34" s="130"/>
      <c r="O34" s="131"/>
      <c r="P34" s="426"/>
      <c r="Q34" s="377">
        <f>Q32</f>
        <v>1</v>
      </c>
      <c r="R34" s="377"/>
      <c r="S34" s="378"/>
      <c r="T34" s="439"/>
      <c r="U34" s="374"/>
      <c r="V34" s="35"/>
      <c r="W34" s="82"/>
      <c r="X34" s="148"/>
      <c r="Y34" s="160"/>
      <c r="Z34" s="161"/>
      <c r="AA34" s="162"/>
      <c r="AB34" s="163"/>
      <c r="AC34" s="146"/>
      <c r="AD34" s="149"/>
    </row>
    <row r="35" spans="1:30" ht="12.75" customHeight="1" thickBot="1" x14ac:dyDescent="0.25">
      <c r="A35" s="630">
        <v>46538</v>
      </c>
      <c r="B35" s="631"/>
      <c r="C35" s="631"/>
      <c r="D35" s="631"/>
      <c r="E35" s="631"/>
      <c r="F35" s="631"/>
      <c r="G35" s="631"/>
      <c r="H35" s="631"/>
      <c r="I35" s="631"/>
      <c r="J35" s="635"/>
      <c r="K35" s="635"/>
      <c r="L35" s="637"/>
      <c r="M35" s="412" t="s">
        <v>45</v>
      </c>
      <c r="N35" s="315"/>
      <c r="O35" s="212"/>
      <c r="P35" s="440">
        <f>MROUND(L35,"0:15")</f>
        <v>0</v>
      </c>
      <c r="Q35" s="98">
        <f>VALUE(MID(TEXT(L35,"hh:mm:ss"),4,2)+Q34)-IF(ABS((MID(TEXT(L35,"hh:mm:ss"),4,2)+Q34)-FLOOR((MID(TEXT(L35,"hh:mm:ss"),4,2)+Q34),15))&gt;ABS((MID(TEXT(L35,"hh:mm:ss"),4,2)+Q34)-CEILING((MID(TEXT(L35,"hh:mm:ss"),4,2)+Q34),15)),CEILING((MID(TEXT(L35,"hh:mm:ss"),4,2)+Q34),15),FLOOR((MID(TEXT(L35,"hh:mm:ss"),4,2)+Q34),15))</f>
        <v>1</v>
      </c>
      <c r="R35" s="98"/>
      <c r="S35" s="99"/>
      <c r="T35" s="436">
        <f>T32-L35</f>
        <v>-5.3472222222223587E-2</v>
      </c>
      <c r="U35" s="100"/>
      <c r="V35" s="151">
        <v>0.33333333333333331</v>
      </c>
      <c r="W35" s="192">
        <v>45285</v>
      </c>
      <c r="X35" s="709"/>
      <c r="Y35" s="345">
        <f>IF(M35="O",P35 - AA35,"0:00:00")</f>
        <v>0</v>
      </c>
      <c r="Z35" s="349" t="str">
        <f t="shared" ref="Z35:Z39" si="4">IF(M35="C",P35,"0:00:00")</f>
        <v>0:00:00</v>
      </c>
      <c r="AA35" s="138" t="str">
        <f>IF(P35="M",Q35-P35,"0:00:00")</f>
        <v>0:00:00</v>
      </c>
      <c r="AB35" s="157">
        <f>SUM(Y35:Z35)</f>
        <v>0</v>
      </c>
      <c r="AC35" s="106">
        <v>0.33333333333333331</v>
      </c>
      <c r="AD35" s="188" t="b">
        <f>V35=AC35</f>
        <v>1</v>
      </c>
    </row>
    <row r="36" spans="1:30" ht="12.75" customHeight="1" thickBot="1" x14ac:dyDescent="0.25">
      <c r="A36" s="587"/>
      <c r="B36" s="588"/>
      <c r="C36" s="588"/>
      <c r="D36" s="588"/>
      <c r="E36" s="588"/>
      <c r="F36" s="588"/>
      <c r="G36" s="588"/>
      <c r="H36" s="588"/>
      <c r="I36" s="588"/>
      <c r="J36" s="591"/>
      <c r="K36" s="591"/>
      <c r="L36" s="675"/>
      <c r="M36" s="585" t="s">
        <v>53</v>
      </c>
      <c r="N36" s="315"/>
      <c r="O36" s="212"/>
      <c r="P36" s="441">
        <f>TIME(MID(TEXT(L36,"hh:mm:ss"),1,2), IF(ABS((MID(TEXT(L36,"hh:mm:ss"),4,2)+Q35)-FLOOR((MID(TEXT(L36,"hh:mm:ss"),4,2)+Q35),15))&gt;=ABS((MID(TEXT(L36,"hh:mm:ss"),4,2)+Q35)-CEILING((MID(TEXT(L36,"hh:mm:ss"),4,2)+Q35),15)),CEILING((MID(TEXT(L36,"hh:mm:ss"),4,2)+Q35),15),FLOOR((MID(TEXT(L36,"hh:mm:ss"),4,2)+Q35),15)), MID(TEXT(L36,"hh:mm:ss"),7,2))</f>
        <v>0</v>
      </c>
      <c r="Q36" s="95">
        <f>VALUE(MID(TEXT(L36,"hh:mm:ss"),4,2)+Q35)-IF(ABS((MID(TEXT(L36,"hh:mm:ss"),4,2)+Q35)-FLOOR((MID(TEXT(L36,"hh:mm:ss"),4,2)+Q35),15))&gt;ABS((MID(TEXT(L36,"hh:mm:ss"),4,2)+Q35)-CEILING((MID(TEXT(L36,"hh:mm:ss"),4,2)+Q35),15)),CEILING((MID(TEXT(L36,"hh:mm:ss"),4,2)+Q35),15),FLOOR((MID(TEXT(L36,"hh:mm:ss"),4,2)+Q35),15))</f>
        <v>1</v>
      </c>
      <c r="R36" s="95"/>
      <c r="S36" s="96"/>
      <c r="T36" s="422">
        <f>T35-L36</f>
        <v>-5.3472222222223587E-2</v>
      </c>
      <c r="U36" s="97"/>
      <c r="V36" s="77">
        <v>0.45833333333333331</v>
      </c>
      <c r="W36" s="192">
        <v>45286</v>
      </c>
      <c r="X36" s="709"/>
      <c r="Y36" s="361" t="str">
        <f>IF(M36="O",P36 - AA36,"0:00:00")</f>
        <v>0:00:00</v>
      </c>
      <c r="Z36" s="152">
        <f t="shared" si="4"/>
        <v>0</v>
      </c>
      <c r="AA36" s="140" t="str">
        <f>IF(P36="M",Q36-P36,"0:00:00")</f>
        <v>0:00:00</v>
      </c>
      <c r="AB36" s="158">
        <f>SUM(Y36:Z36)</f>
        <v>0</v>
      </c>
      <c r="AC36" s="107">
        <v>0.45833333333333331</v>
      </c>
      <c r="AD36" s="189" t="b">
        <f>V36=AC36</f>
        <v>1</v>
      </c>
    </row>
    <row r="37" spans="1:30" ht="13.5" thickBot="1" x14ac:dyDescent="0.25">
      <c r="A37" s="587"/>
      <c r="B37" s="588"/>
      <c r="C37" s="588"/>
      <c r="D37" s="588"/>
      <c r="E37" s="588"/>
      <c r="F37" s="588"/>
      <c r="G37" s="588"/>
      <c r="H37" s="588"/>
      <c r="I37" s="588"/>
      <c r="J37" s="591"/>
      <c r="K37" s="591"/>
      <c r="L37" s="675"/>
      <c r="M37" s="585" t="s">
        <v>45</v>
      </c>
      <c r="N37" s="315"/>
      <c r="O37" s="212"/>
      <c r="P37" s="441">
        <f>TIME(MID(TEXT(L37,"hh:mm:ss"),1,2), IF(ABS((MID(TEXT(L37,"hh:mm:ss"),4,2)+Q36)-FLOOR((MID(TEXT(L37,"hh:mm:ss"),4,2)+Q36),15))&gt;=ABS((MID(TEXT(L37,"hh:mm:ss"),4,2)+Q36)-CEILING((MID(TEXT(L37,"hh:mm:ss"),4,2)+Q36),15)),CEILING((MID(TEXT(L37,"hh:mm:ss"),4,2)+Q36),15),FLOOR((MID(TEXT(L37,"hh:mm:ss"),4,2)+Q36),15)), MID(TEXT(L37,"hh:mm:ss"),7,2))</f>
        <v>0</v>
      </c>
      <c r="Q37" s="95">
        <f>VALUE(MID(TEXT(L37,"hh:mm:ss"),4,2)+Q36)-IF(ABS((MID(TEXT(L37,"hh:mm:ss"),4,2)+Q36)-FLOOR((MID(TEXT(L37,"hh:mm:ss"),4,2)+Q36),15))&gt;ABS((MID(TEXT(L37,"hh:mm:ss"),4,2)+Q36)-CEILING((MID(TEXT(L37,"hh:mm:ss"),4,2)+Q36),15)),CEILING((MID(TEXT(L37,"hh:mm:ss"),4,2)+Q36),15),FLOOR((MID(TEXT(L37,"hh:mm:ss"),4,2)+Q36),15))</f>
        <v>1</v>
      </c>
      <c r="R37" s="95"/>
      <c r="S37" s="96"/>
      <c r="T37" s="422">
        <f>T36-L37</f>
        <v>-5.3472222222223587E-2</v>
      </c>
      <c r="U37" s="97"/>
      <c r="V37" s="77">
        <v>0.33333333333333331</v>
      </c>
      <c r="W37" s="192">
        <v>45287</v>
      </c>
      <c r="X37" s="709"/>
      <c r="Y37" s="361">
        <f>IF(M37="O",P37 - AA37,"0:00:00")</f>
        <v>0</v>
      </c>
      <c r="Z37" s="152" t="str">
        <f t="shared" si="4"/>
        <v>0:00:00</v>
      </c>
      <c r="AA37" s="140" t="str">
        <f>IF(P37="M",Q37-P37,"0:00:00")</f>
        <v>0:00:00</v>
      </c>
      <c r="AB37" s="158">
        <f>SUM(Y37:Z37)</f>
        <v>0</v>
      </c>
      <c r="AC37" s="107">
        <v>0.33333333333333331</v>
      </c>
      <c r="AD37" s="189" t="b">
        <f>V37=AC37</f>
        <v>1</v>
      </c>
    </row>
    <row r="38" spans="1:30" ht="12.75" customHeight="1" thickBot="1" x14ac:dyDescent="0.25">
      <c r="A38" s="587"/>
      <c r="B38" s="588"/>
      <c r="C38" s="588"/>
      <c r="D38" s="588"/>
      <c r="E38" s="588"/>
      <c r="F38" s="588"/>
      <c r="G38" s="588"/>
      <c r="H38" s="588"/>
      <c r="I38" s="588"/>
      <c r="J38" s="591"/>
      <c r="K38" s="591"/>
      <c r="L38" s="675"/>
      <c r="M38" s="585" t="s">
        <v>53</v>
      </c>
      <c r="N38" s="316"/>
      <c r="O38" s="214"/>
      <c r="P38" s="441">
        <f>TIME(MID(TEXT(L38,"hh:mm:ss"),1,2), IF(ABS((MID(TEXT(L38,"hh:mm:ss"),4,2)+Q37)-FLOOR((MID(TEXT(L38,"hh:mm:ss"),4,2)+Q37),15))&gt;=ABS((MID(TEXT(L38,"hh:mm:ss"),4,2)+Q37)-CEILING((MID(TEXT(L38,"hh:mm:ss"),4,2)+Q37),15)),CEILING((MID(TEXT(L38,"hh:mm:ss"),4,2)+Q37),15),FLOOR((MID(TEXT(L38,"hh:mm:ss"),4,2)+Q37),15)), MID(TEXT(L38,"hh:mm:ss"),7,2))</f>
        <v>0</v>
      </c>
      <c r="Q38" s="101">
        <f>VALUE(MID(TEXT(L38,"hh:mm:ss"),4,2)+Q37)-IF(ABS((MID(TEXT(L38,"hh:mm:ss"),4,2)+Q37)-FLOOR((MID(TEXT(L38,"hh:mm:ss"),4,2)+Q37),15))&gt;ABS((MID(TEXT(L38,"hh:mm:ss"),4,2)+Q37)-CEILING((MID(TEXT(L38,"hh:mm:ss"),4,2)+Q37),15)),CEILING((MID(TEXT(L38,"hh:mm:ss"),4,2)+Q37),15),FLOOR((MID(TEXT(L38,"hh:mm:ss"),4,2)+Q37),15))</f>
        <v>1</v>
      </c>
      <c r="R38" s="101"/>
      <c r="S38" s="102"/>
      <c r="T38" s="442">
        <f>T37-L38</f>
        <v>-5.3472222222223587E-2</v>
      </c>
      <c r="U38" s="97"/>
      <c r="V38" s="77">
        <v>0.45833333333333331</v>
      </c>
      <c r="W38" s="192">
        <v>45288</v>
      </c>
      <c r="X38" s="709"/>
      <c r="Y38" s="361" t="str">
        <f>IF(M38="O",P38 - AA38,"0:00:00")</f>
        <v>0:00:00</v>
      </c>
      <c r="Z38" s="152">
        <f t="shared" si="4"/>
        <v>0</v>
      </c>
      <c r="AA38" s="140" t="str">
        <f>IF(P38="M",Q38-P38,"0:00:00")</f>
        <v>0:00:00</v>
      </c>
      <c r="AB38" s="158">
        <f>SUM(Y38:Z38)</f>
        <v>0</v>
      </c>
      <c r="AC38" s="107">
        <v>0.45833333333333331</v>
      </c>
      <c r="AD38" s="189" t="b">
        <f>V38=AC38</f>
        <v>1</v>
      </c>
    </row>
    <row r="39" spans="1:30" ht="13.5" customHeight="1" thickBot="1" x14ac:dyDescent="0.25">
      <c r="A39" s="587"/>
      <c r="B39" s="588"/>
      <c r="C39" s="588"/>
      <c r="D39" s="588"/>
      <c r="E39" s="588"/>
      <c r="F39" s="588"/>
      <c r="G39" s="588"/>
      <c r="H39" s="588"/>
      <c r="I39" s="588"/>
      <c r="J39" s="591"/>
      <c r="K39" s="591"/>
      <c r="L39" s="675"/>
      <c r="M39" s="586" t="s">
        <v>53</v>
      </c>
      <c r="N39" s="315"/>
      <c r="O39" s="212"/>
      <c r="P39" s="441">
        <f>TIME(MID(TEXT(L39,"hh:mm:ss"),1,2), IF(ABS((MID(TEXT(L39,"hh:mm:ss"),4,2)+Q38)-FLOOR((MID(TEXT(L39,"hh:mm:ss"),4,2)+Q38),15))&gt;=ABS((MID(TEXT(L39,"hh:mm:ss"),4,2)+Q38)-CEILING((MID(TEXT(L39,"hh:mm:ss"),4,2)+Q38),15)),CEILING((MID(TEXT(L39,"hh:mm:ss"),4,2)+Q38),15),FLOOR((MID(TEXT(L39,"hh:mm:ss"),4,2)+Q38),15)), MID(TEXT(L39,"hh:mm:ss"),7,2))</f>
        <v>0</v>
      </c>
      <c r="Q39" s="92">
        <f>VALUE(MID(TEXT(L39,"hh:mm:ss"),4,2)+Q38)-IF(ABS((MID(TEXT(L39,"hh:mm:ss"),4,2)+Q38)-FLOOR((MID(TEXT(L39,"hh:mm:ss"),4,2)+Q38),15))&gt;ABS((MID(TEXT(L39,"hh:mm:ss"),4,2)+Q38)-CEILING((MID(TEXT(L39,"hh:mm:ss"),4,2)+Q38),15)),CEILING((MID(TEXT(L39,"hh:mm:ss"),4,2)+Q38),15),FLOOR((MID(TEXT(L39,"hh:mm:ss"),4,2)+Q38),15))</f>
        <v>1</v>
      </c>
      <c r="R39" s="92"/>
      <c r="S39" s="93"/>
      <c r="T39" s="443">
        <f>T38-L39</f>
        <v>-5.3472222222223587E-2</v>
      </c>
      <c r="U39" s="94"/>
      <c r="V39" s="78"/>
      <c r="W39" s="192">
        <v>45289</v>
      </c>
      <c r="X39" s="709"/>
      <c r="Y39" s="142" t="str">
        <f>IF(M39="O",P39 - AA39,"0:00:00")</f>
        <v>0:00:00</v>
      </c>
      <c r="Z39" s="140">
        <f t="shared" si="4"/>
        <v>0</v>
      </c>
      <c r="AA39" s="152" t="str">
        <f>IF(P39="M",Q39-P39,"0:00:00")</f>
        <v>0:00:00</v>
      </c>
      <c r="AB39" s="164">
        <f>SUM(Y39:Z39)</f>
        <v>0</v>
      </c>
      <c r="AC39" s="108"/>
      <c r="AD39" s="190"/>
    </row>
    <row r="40" spans="1:30" ht="15.75" thickBot="1" x14ac:dyDescent="0.25">
      <c r="A40" s="227" t="s">
        <v>23</v>
      </c>
      <c r="B40" s="230"/>
      <c r="C40" s="230"/>
      <c r="D40" s="230"/>
      <c r="E40" s="230"/>
      <c r="F40" s="230"/>
      <c r="G40" s="230"/>
      <c r="H40" s="230"/>
      <c r="I40" s="230"/>
      <c r="J40" s="228"/>
      <c r="K40" s="228"/>
      <c r="L40" s="419">
        <f>SUM(L35:L39)</f>
        <v>0</v>
      </c>
      <c r="M40" s="406"/>
      <c r="N40" s="132"/>
      <c r="O40" s="133"/>
      <c r="P40" s="444">
        <f>SUM(P35:P39)</f>
        <v>0</v>
      </c>
      <c r="Q40" s="63"/>
      <c r="R40" s="63"/>
      <c r="S40" s="63"/>
      <c r="T40" s="63"/>
      <c r="U40" s="387"/>
      <c r="V40" s="172"/>
      <c r="W40" s="145" t="s">
        <v>23</v>
      </c>
      <c r="X40" s="153"/>
      <c r="Y40" s="165"/>
      <c r="Z40" s="166"/>
      <c r="AA40" s="166"/>
      <c r="AB40" s="167"/>
      <c r="AC40" s="123"/>
      <c r="AD40" s="181"/>
    </row>
    <row r="41" spans="1:30" ht="15.75" thickBot="1" x14ac:dyDescent="0.25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3"/>
      <c r="L41" s="509"/>
      <c r="M41" s="234"/>
      <c r="N41" s="235"/>
      <c r="O41" s="235"/>
      <c r="P41" s="236"/>
      <c r="Q41" s="236"/>
      <c r="R41" s="236"/>
      <c r="S41" s="236"/>
      <c r="T41" s="237"/>
      <c r="U41" s="238"/>
      <c r="V41" s="35"/>
      <c r="W41" s="239"/>
      <c r="X41" s="240"/>
      <c r="Y41" s="241"/>
      <c r="Z41" s="242"/>
      <c r="AA41" s="243"/>
      <c r="AB41" s="244"/>
      <c r="AC41" s="245"/>
      <c r="AD41" s="149"/>
    </row>
    <row r="42" spans="1:30" ht="15.75" thickBot="1" x14ac:dyDescent="0.25">
      <c r="A42" s="41"/>
      <c r="B42" s="42"/>
      <c r="C42" s="42"/>
      <c r="D42" s="42"/>
      <c r="E42" s="42"/>
      <c r="F42" s="42"/>
      <c r="G42" s="42"/>
      <c r="H42" s="42"/>
      <c r="I42" s="42"/>
      <c r="J42" s="43"/>
      <c r="K42" s="43"/>
      <c r="L42" s="44"/>
      <c r="M42" s="67"/>
      <c r="N42" s="67"/>
      <c r="O42" s="67"/>
      <c r="X42" s="148"/>
      <c r="Y42" s="168">
        <f>SUM(Y7:Y11,Y14:Y18,Y21:Y25,Y28:Y32,Y35:Y39)</f>
        <v>2.8541666666666665</v>
      </c>
      <c r="Z42" s="169">
        <f>SUM(Z7:Z11,Z14:Z18,Z21:Z25,Z28:Z32,Z35:Z39)</f>
        <v>2.864583333333333</v>
      </c>
      <c r="AA42" s="169">
        <f>SUM(AA7:AA11,AA14:AA18,AA21:AA25,AA28:AA32,AA35:AA39)</f>
        <v>0</v>
      </c>
      <c r="AB42" s="170">
        <f>SUM(AB7:AB11,AB14:AB18,AB21:AB25,AB28:AB32,AB35:AB39)</f>
        <v>5.71875</v>
      </c>
      <c r="AC42" s="109"/>
      <c r="AD42" s="154"/>
    </row>
    <row r="43" spans="1:30" ht="13.5" thickBot="1" x14ac:dyDescent="0.25">
      <c r="A43" s="46" t="s">
        <v>24</v>
      </c>
      <c r="B43" s="47"/>
      <c r="C43" s="47"/>
      <c r="D43" s="47"/>
      <c r="E43" s="47"/>
      <c r="F43" s="47"/>
      <c r="G43" s="47"/>
      <c r="H43" s="47"/>
      <c r="I43" s="47"/>
      <c r="J43" s="48"/>
      <c r="K43" s="48"/>
      <c r="L43" s="49">
        <f>SUM(L33,L26,L19,L12,L40)</f>
        <v>5.7187499999999991</v>
      </c>
      <c r="M43" s="185"/>
      <c r="N43" s="185"/>
      <c r="O43" s="185"/>
      <c r="P43" s="83">
        <f>SUM(P12,P19,P26,P33,P40)</f>
        <v>5.71875</v>
      </c>
      <c r="U43" s="60" t="s">
        <v>29</v>
      </c>
      <c r="V43" s="83">
        <f>SUM(V7:V42)</f>
        <v>6.427083333333333</v>
      </c>
      <c r="Y43" s="12"/>
      <c r="Z43" s="45"/>
      <c r="AA43" s="45"/>
      <c r="AC43" s="110">
        <f>SUM(AC7:AC42)</f>
        <v>6.4270833333333313</v>
      </c>
    </row>
    <row r="44" spans="1:30" ht="13.5" thickBo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5"/>
      <c r="M44" s="134"/>
      <c r="N44" s="134"/>
      <c r="O44" s="134"/>
      <c r="T44" s="51"/>
      <c r="Y44" s="155">
        <f>Y42/C47</f>
        <v>0.49908925318761388</v>
      </c>
      <c r="Z44" s="155">
        <f>Z42/C47</f>
        <v>0.50091074681238623</v>
      </c>
      <c r="AA44" s="156">
        <f>AA42/C47</f>
        <v>0</v>
      </c>
      <c r="AB44" s="180">
        <f>SUM(Y44:AA44)</f>
        <v>1</v>
      </c>
    </row>
    <row r="45" spans="1:30" ht="18.75" thickBot="1" x14ac:dyDescent="0.25">
      <c r="A45" s="15"/>
      <c r="B45" s="16"/>
      <c r="C45" s="16"/>
      <c r="D45" s="16"/>
      <c r="E45" s="16"/>
      <c r="F45" s="17"/>
      <c r="G45" s="1"/>
      <c r="H45" s="1"/>
      <c r="I45" s="1"/>
      <c r="J45" s="4"/>
      <c r="K45" s="4"/>
      <c r="L45" s="1"/>
      <c r="M45" s="115"/>
      <c r="N45" s="115"/>
      <c r="O45" s="115"/>
      <c r="R45" s="40"/>
      <c r="S45" s="35"/>
      <c r="T45" s="53"/>
      <c r="U45" s="35"/>
      <c r="Y45" s="12"/>
      <c r="Z45" s="45"/>
      <c r="AA45" s="45"/>
    </row>
    <row r="46" spans="1:30" ht="12.75" customHeight="1" x14ac:dyDescent="0.2">
      <c r="A46" s="740" t="s">
        <v>25</v>
      </c>
      <c r="B46" s="741"/>
      <c r="C46" s="18">
        <f>J1*J2</f>
        <v>5.6666666666666661</v>
      </c>
      <c r="D46" s="18"/>
      <c r="E46" s="18"/>
      <c r="F46" s="19"/>
      <c r="G46" s="3"/>
      <c r="H46" s="3"/>
      <c r="I46" s="3"/>
      <c r="J46" s="3"/>
      <c r="L46" s="3"/>
      <c r="M46" s="135"/>
      <c r="N46" s="135"/>
      <c r="O46" s="135"/>
      <c r="P46" s="215"/>
      <c r="Q46" s="710"/>
      <c r="R46" s="710"/>
      <c r="S46" s="710"/>
      <c r="T46" s="711"/>
      <c r="U46" s="216"/>
      <c r="Y46" s="1"/>
      <c r="Z46" s="45"/>
      <c r="AA46" s="45"/>
    </row>
    <row r="47" spans="1:30" ht="13.5" customHeight="1" x14ac:dyDescent="0.2">
      <c r="A47" s="20"/>
      <c r="B47" s="623" t="s">
        <v>26</v>
      </c>
      <c r="C47" s="22">
        <f>L43</f>
        <v>5.7187499999999991</v>
      </c>
      <c r="D47" s="22"/>
      <c r="E47" s="22"/>
      <c r="F47" s="23"/>
      <c r="G47" s="3"/>
      <c r="H47" s="3"/>
      <c r="I47" s="3"/>
      <c r="K47" s="50"/>
      <c r="P47" s="215"/>
      <c r="Q47" s="710"/>
      <c r="R47" s="710"/>
      <c r="S47" s="710"/>
      <c r="T47" s="711"/>
      <c r="U47" s="216"/>
      <c r="Y47" s="1"/>
    </row>
    <row r="48" spans="1:30" x14ac:dyDescent="0.2">
      <c r="A48" s="20"/>
      <c r="B48" s="623" t="s">
        <v>27</v>
      </c>
      <c r="C48" s="18" t="str">
        <f>IF(C46&gt;C47,C46-C47,"00:00:00")</f>
        <v>00:00:00</v>
      </c>
      <c r="D48" s="22"/>
      <c r="E48" s="22"/>
      <c r="F48" s="24"/>
      <c r="K48" s="35"/>
      <c r="P48" s="215"/>
      <c r="Q48" s="216"/>
      <c r="R48" s="216"/>
      <c r="S48" s="216"/>
      <c r="T48" s="622"/>
      <c r="U48" s="216"/>
    </row>
    <row r="49" spans="1:30" ht="13.5" thickBot="1" x14ac:dyDescent="0.25">
      <c r="A49" s="20"/>
      <c r="B49" s="623" t="s">
        <v>28</v>
      </c>
      <c r="C49" s="18">
        <f>IF(C47&gt;C46,C47-C46,"00:00:00")</f>
        <v>5.2083333333333037E-2</v>
      </c>
      <c r="D49" s="25"/>
      <c r="E49" s="26" t="s">
        <v>29</v>
      </c>
      <c r="F49" s="19"/>
      <c r="G49" s="3"/>
      <c r="H49" s="3"/>
      <c r="I49" s="3"/>
      <c r="K49" s="35"/>
      <c r="P49" s="215"/>
      <c r="Q49" s="216"/>
      <c r="R49" s="216"/>
      <c r="S49" s="216"/>
      <c r="T49" s="218"/>
      <c r="U49" s="216"/>
    </row>
    <row r="50" spans="1:30" ht="13.5" thickBot="1" x14ac:dyDescent="0.25">
      <c r="A50" s="15"/>
      <c r="B50" s="16"/>
      <c r="C50" s="16"/>
      <c r="D50" s="16"/>
      <c r="E50" s="16"/>
      <c r="F50" s="17"/>
      <c r="G50" s="3"/>
      <c r="H50" s="5"/>
      <c r="I50" s="3"/>
      <c r="R50" s="40"/>
      <c r="S50" s="35"/>
      <c r="T50" s="53"/>
      <c r="U50" s="35"/>
    </row>
    <row r="51" spans="1:30" x14ac:dyDescent="0.2">
      <c r="A51" s="20"/>
      <c r="B51" s="623" t="s">
        <v>30</v>
      </c>
      <c r="C51" s="68">
        <v>0</v>
      </c>
      <c r="D51" s="18"/>
      <c r="E51" s="27" t="s">
        <v>31</v>
      </c>
      <c r="F51" s="28" t="str">
        <f>IF(C51&gt;C52,C51-C52,"00:00:00")</f>
        <v>00:00:00</v>
      </c>
    </row>
    <row r="52" spans="1:30" ht="13.5" thickBot="1" x14ac:dyDescent="0.25">
      <c r="A52" s="20"/>
      <c r="B52" s="623" t="s">
        <v>32</v>
      </c>
      <c r="C52" s="68">
        <v>0</v>
      </c>
      <c r="D52" s="18"/>
      <c r="E52" s="27" t="s">
        <v>33</v>
      </c>
      <c r="F52" s="28" t="str">
        <f>IF(C52&gt;C51,C52-C51,"00:00:00")</f>
        <v>00:00:00</v>
      </c>
    </row>
    <row r="53" spans="1:30" ht="13.5" thickBot="1" x14ac:dyDescent="0.25">
      <c r="A53" s="712" t="s">
        <v>34</v>
      </c>
      <c r="B53" s="736"/>
      <c r="C53" s="38">
        <f>Horas!N3-Mayo!J1</f>
        <v>0</v>
      </c>
      <c r="D53" s="737" t="s">
        <v>35</v>
      </c>
      <c r="E53" s="737"/>
      <c r="F53" s="39">
        <v>0</v>
      </c>
      <c r="P53" s="66"/>
      <c r="Q53" s="2"/>
      <c r="R53" s="2"/>
    </row>
    <row r="54" spans="1:30" ht="13.5" thickBot="1" x14ac:dyDescent="0.25">
      <c r="A54" s="715" t="s">
        <v>36</v>
      </c>
      <c r="B54" s="738"/>
      <c r="C54" s="36">
        <v>0</v>
      </c>
      <c r="D54" s="739" t="s">
        <v>37</v>
      </c>
      <c r="E54" s="739"/>
      <c r="F54" s="37">
        <v>0</v>
      </c>
      <c r="P54" s="66"/>
      <c r="Q54" s="2"/>
      <c r="R54" s="2"/>
    </row>
    <row r="55" spans="1:30" ht="13.5" thickBot="1" x14ac:dyDescent="0.25">
      <c r="A55" s="15"/>
      <c r="B55" s="16"/>
      <c r="C55" s="16"/>
      <c r="D55" s="16"/>
      <c r="E55" s="16"/>
      <c r="F55" s="17"/>
      <c r="P55" s="66"/>
      <c r="Q55" s="2"/>
      <c r="R55" s="2"/>
      <c r="AD55" s="2" t="s">
        <v>52</v>
      </c>
    </row>
    <row r="59" spans="1:30" ht="15" x14ac:dyDescent="0.25">
      <c r="I59" s="253"/>
    </row>
  </sheetData>
  <mergeCells count="27">
    <mergeCell ref="X14:X18"/>
    <mergeCell ref="B1:D1"/>
    <mergeCell ref="P1:U1"/>
    <mergeCell ref="V1:AB1"/>
    <mergeCell ref="B2:D2"/>
    <mergeCell ref="P2:U2"/>
    <mergeCell ref="V2:AB2"/>
    <mergeCell ref="B3:D3"/>
    <mergeCell ref="N4:O4"/>
    <mergeCell ref="Y5:AB5"/>
    <mergeCell ref="X7:X11"/>
    <mergeCell ref="P12:T12"/>
    <mergeCell ref="X21:X25"/>
    <mergeCell ref="P26:T26"/>
    <mergeCell ref="X28:X32"/>
    <mergeCell ref="P33:T33"/>
    <mergeCell ref="X35:X39"/>
    <mergeCell ref="S46:S47"/>
    <mergeCell ref="T46:T47"/>
    <mergeCell ref="A53:B53"/>
    <mergeCell ref="D53:E53"/>
    <mergeCell ref="P19:T19"/>
    <mergeCell ref="A54:B54"/>
    <mergeCell ref="D54:E54"/>
    <mergeCell ref="A46:B46"/>
    <mergeCell ref="Q46:Q47"/>
    <mergeCell ref="R46:R47"/>
  </mergeCells>
  <pageMargins left="0.75" right="0.75" top="1" bottom="1" header="0" footer="0"/>
  <pageSetup paperSize="9" scale="76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/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Horas</vt:lpstr>
      <vt:lpstr>Mayo 26</vt:lpstr>
      <vt:lpstr>Junio</vt:lpstr>
      <vt:lpstr>Julio</vt:lpstr>
      <vt:lpstr>Agosto</vt:lpstr>
      <vt:lpstr>Septiembre</vt:lpstr>
      <vt:lpstr>Octubre</vt:lpstr>
      <vt:lpstr>Noviembre</vt:lpstr>
      <vt:lpstr>Diciembre</vt:lpstr>
      <vt:lpstr>Enero</vt:lpstr>
      <vt:lpstr>Febrero</vt:lpstr>
      <vt:lpstr>Marzo</vt:lpstr>
      <vt:lpstr>Abril</vt:lpstr>
      <vt:lpstr>Mayo</vt:lpstr>
      <vt:lpstr>Abril!Área_de_impresión</vt:lpstr>
      <vt:lpstr>Julio!Área_de_impresión</vt:lpstr>
      <vt:lpstr>Marzo!Área_de_impresión</vt:lpstr>
      <vt:lpstr>Mayo!Área_de_impresión</vt:lpstr>
      <vt:lpstr>Septiembre!Área_de_impresión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